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Sheet1!$A$209:$N$294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<sst xmlns="http://schemas.openxmlformats.org/spreadsheetml/2006/main" count="2122" uniqueCount="249">
  <si>
    <t>不合并</t>
  </si>
  <si>
    <r>
      <rPr>
        <b/>
        <sz val="24"/>
        <rFont val="宋体"/>
        <charset val="134"/>
      </rPr>
      <t>台</t>
    </r>
    <r>
      <rPr>
        <b/>
        <sz val="24"/>
        <rFont val="Arial"/>
        <charset val="0"/>
      </rPr>
      <t xml:space="preserve"> </t>
    </r>
    <r>
      <rPr>
        <b/>
        <sz val="24"/>
        <rFont val="宋体"/>
        <charset val="134"/>
      </rPr>
      <t>州</t>
    </r>
    <r>
      <rPr>
        <b/>
        <sz val="24"/>
        <rFont val="Arial"/>
        <charset val="0"/>
      </rPr>
      <t xml:space="preserve"> </t>
    </r>
    <r>
      <rPr>
        <b/>
        <sz val="24"/>
        <rFont val="宋体"/>
        <charset val="134"/>
      </rPr>
      <t>振</t>
    </r>
    <r>
      <rPr>
        <b/>
        <sz val="24"/>
        <rFont val="Arial"/>
        <charset val="0"/>
      </rPr>
      <t xml:space="preserve"> </t>
    </r>
    <r>
      <rPr>
        <b/>
        <sz val="24"/>
        <rFont val="宋体"/>
        <charset val="134"/>
      </rPr>
      <t>鹏</t>
    </r>
    <r>
      <rPr>
        <b/>
        <sz val="24"/>
        <rFont val="Arial"/>
        <charset val="0"/>
      </rPr>
      <t xml:space="preserve"> </t>
    </r>
    <r>
      <rPr>
        <b/>
        <sz val="24"/>
        <rFont val="宋体"/>
        <charset val="134"/>
      </rPr>
      <t>单</t>
    </r>
    <r>
      <rPr>
        <b/>
        <sz val="24"/>
        <rFont val="Arial"/>
        <charset val="0"/>
      </rPr>
      <t xml:space="preserve"> </t>
    </r>
    <r>
      <rPr>
        <b/>
        <sz val="24"/>
        <rFont val="宋体"/>
        <charset val="134"/>
      </rPr>
      <t>向</t>
    </r>
    <r>
      <rPr>
        <b/>
        <sz val="24"/>
        <rFont val="Arial"/>
        <charset val="0"/>
      </rPr>
      <t xml:space="preserve"> </t>
    </r>
    <r>
      <rPr>
        <b/>
        <sz val="24"/>
        <rFont val="宋体"/>
        <charset val="134"/>
      </rPr>
      <t>器</t>
    </r>
    <r>
      <rPr>
        <b/>
        <sz val="24"/>
        <rFont val="Arial"/>
        <charset val="0"/>
      </rPr>
      <t xml:space="preserve"> </t>
    </r>
    <r>
      <rPr>
        <b/>
        <sz val="24"/>
        <rFont val="宋体"/>
        <charset val="134"/>
      </rPr>
      <t>有</t>
    </r>
    <r>
      <rPr>
        <b/>
        <sz val="24"/>
        <rFont val="Arial"/>
        <charset val="0"/>
      </rPr>
      <t xml:space="preserve"> </t>
    </r>
    <r>
      <rPr>
        <b/>
        <sz val="24"/>
        <rFont val="宋体"/>
        <charset val="134"/>
      </rPr>
      <t>限</t>
    </r>
    <r>
      <rPr>
        <b/>
        <sz val="24"/>
        <rFont val="Arial"/>
        <charset val="0"/>
      </rPr>
      <t xml:space="preserve"> </t>
    </r>
    <r>
      <rPr>
        <b/>
        <sz val="24"/>
        <rFont val="宋体"/>
        <charset val="134"/>
      </rPr>
      <t>公</t>
    </r>
    <r>
      <rPr>
        <b/>
        <sz val="24"/>
        <rFont val="Arial"/>
        <charset val="0"/>
      </rPr>
      <t xml:space="preserve"> </t>
    </r>
    <r>
      <rPr>
        <b/>
        <sz val="24"/>
        <rFont val="宋体"/>
        <charset val="134"/>
      </rPr>
      <t>司</t>
    </r>
  </si>
  <si>
    <t>TAIZHOU ZHENPENG OVERRUNNING  CLUTCH  CO., LTD</t>
  </si>
  <si>
    <r>
      <rPr>
        <b/>
        <sz val="11"/>
        <rFont val="宋体"/>
        <charset val="134"/>
      </rPr>
      <t>合同编号</t>
    </r>
    <r>
      <rPr>
        <b/>
        <sz val="11"/>
        <rFont val="Arial"/>
        <charset val="134"/>
      </rPr>
      <t> (CONTRACT NO)</t>
    </r>
    <r>
      <rPr>
        <b/>
        <sz val="11"/>
        <rFont val="宋体"/>
        <charset val="134"/>
      </rPr>
      <t>：405398+405228+420867</t>
    </r>
  </si>
  <si>
    <r>
      <rPr>
        <sz val="11"/>
        <color rgb="FF000000"/>
        <rFont val="宋体"/>
        <charset val="134"/>
      </rPr>
      <t>打托</t>
    </r>
  </si>
  <si>
    <r>
      <rPr>
        <b/>
        <sz val="11"/>
        <rFont val="宋体"/>
        <charset val="134"/>
      </rPr>
      <t>收货</t>
    </r>
    <r>
      <rPr>
        <b/>
        <sz val="11"/>
        <rFont val="Arial"/>
        <charset val="134"/>
      </rPr>
      <t>\</t>
    </r>
    <r>
      <rPr>
        <b/>
        <sz val="11"/>
        <rFont val="宋体"/>
        <charset val="134"/>
      </rPr>
      <t>单位</t>
    </r>
    <r>
      <rPr>
        <b/>
        <sz val="11"/>
        <rFont val="Arial"/>
        <charset val="134"/>
      </rPr>
      <t>(RECEIVING UNIT):6002</t>
    </r>
    <r>
      <rPr>
        <b/>
        <sz val="11"/>
        <rFont val="宋体"/>
        <charset val="134"/>
      </rPr>
      <t>美国</t>
    </r>
    <r>
      <rPr>
        <b/>
        <sz val="11"/>
        <rFont val="Arial"/>
        <charset val="134"/>
      </rPr>
      <t>BBB</t>
    </r>
  </si>
  <si>
    <t>2025.8.22</t>
  </si>
  <si>
    <r>
      <rPr>
        <b/>
        <sz val="11"/>
        <rFont val="宋体"/>
        <charset val="134"/>
      </rPr>
      <t>编</t>
    </r>
    <r>
      <rPr>
        <b/>
        <sz val="11"/>
        <rFont val="Arial"/>
        <charset val="0"/>
      </rPr>
      <t xml:space="preserve">   </t>
    </r>
    <r>
      <rPr>
        <b/>
        <sz val="11"/>
        <rFont val="宋体"/>
        <charset val="134"/>
      </rPr>
      <t>号</t>
    </r>
  </si>
  <si>
    <r>
      <rPr>
        <b/>
        <sz val="11"/>
        <rFont val="宋体"/>
        <charset val="134"/>
      </rPr>
      <t>标</t>
    </r>
    <r>
      <rPr>
        <b/>
        <sz val="11"/>
        <rFont val="Arial"/>
        <charset val="0"/>
      </rPr>
      <t xml:space="preserve">   </t>
    </r>
    <r>
      <rPr>
        <b/>
        <sz val="11"/>
        <rFont val="宋体"/>
        <charset val="134"/>
      </rPr>
      <t>号</t>
    </r>
  </si>
  <si>
    <r>
      <rPr>
        <b/>
        <sz val="11"/>
        <rFont val="宋体"/>
        <charset val="134"/>
      </rPr>
      <t>客户编号</t>
    </r>
  </si>
  <si>
    <r>
      <rPr>
        <b/>
        <sz val="11"/>
        <rFont val="宋体"/>
        <charset val="134"/>
      </rPr>
      <t>品</t>
    </r>
    <r>
      <rPr>
        <b/>
        <sz val="11"/>
        <rFont val="Arial"/>
        <charset val="0"/>
      </rPr>
      <t xml:space="preserve">          </t>
    </r>
    <r>
      <rPr>
        <b/>
        <sz val="11"/>
        <rFont val="宋体"/>
        <charset val="134"/>
      </rPr>
      <t>名</t>
    </r>
  </si>
  <si>
    <r>
      <rPr>
        <b/>
        <sz val="11"/>
        <rFont val="宋体"/>
        <charset val="134"/>
      </rPr>
      <t>数</t>
    </r>
    <r>
      <rPr>
        <b/>
        <sz val="11"/>
        <rFont val="Arial"/>
        <charset val="0"/>
      </rPr>
      <t xml:space="preserve"> </t>
    </r>
    <r>
      <rPr>
        <b/>
        <sz val="11"/>
        <rFont val="宋体"/>
        <charset val="134"/>
      </rPr>
      <t>量</t>
    </r>
  </si>
  <si>
    <r>
      <rPr>
        <b/>
        <sz val="11"/>
        <rFont val="宋体"/>
        <charset val="134"/>
      </rPr>
      <t>单</t>
    </r>
    <r>
      <rPr>
        <b/>
        <sz val="11"/>
        <rFont val="Arial"/>
        <charset val="0"/>
      </rPr>
      <t xml:space="preserve"> </t>
    </r>
    <r>
      <rPr>
        <b/>
        <sz val="11"/>
        <rFont val="宋体"/>
        <charset val="134"/>
      </rPr>
      <t>位</t>
    </r>
  </si>
  <si>
    <r>
      <rPr>
        <b/>
        <sz val="11"/>
        <rFont val="宋体"/>
        <charset val="134"/>
      </rPr>
      <t>单</t>
    </r>
    <r>
      <rPr>
        <b/>
        <sz val="11"/>
        <rFont val="Arial"/>
        <charset val="0"/>
      </rPr>
      <t xml:space="preserve"> </t>
    </r>
    <r>
      <rPr>
        <b/>
        <sz val="11"/>
        <rFont val="宋体"/>
        <charset val="134"/>
      </rPr>
      <t>价</t>
    </r>
  </si>
  <si>
    <r>
      <rPr>
        <b/>
        <sz val="11"/>
        <rFont val="宋体"/>
        <charset val="134"/>
      </rPr>
      <t>金</t>
    </r>
    <r>
      <rPr>
        <b/>
        <sz val="11"/>
        <rFont val="Arial"/>
        <charset val="0"/>
      </rPr>
      <t xml:space="preserve">     </t>
    </r>
    <r>
      <rPr>
        <b/>
        <sz val="11"/>
        <rFont val="宋体"/>
        <charset val="134"/>
      </rPr>
      <t>额</t>
    </r>
  </si>
  <si>
    <r>
      <rPr>
        <b/>
        <sz val="11"/>
        <color indexed="8"/>
        <rFont val="宋体"/>
        <charset val="134"/>
      </rPr>
      <t>每件数量</t>
    </r>
  </si>
  <si>
    <r>
      <rPr>
        <b/>
        <sz val="11"/>
        <color indexed="8"/>
        <rFont val="宋体"/>
        <charset val="134"/>
      </rPr>
      <t>总</t>
    </r>
    <r>
      <rPr>
        <b/>
        <sz val="11"/>
        <color indexed="8"/>
        <rFont val="Arial"/>
        <charset val="0"/>
      </rPr>
      <t xml:space="preserve"> </t>
    </r>
    <r>
      <rPr>
        <b/>
        <sz val="11"/>
        <color indexed="8"/>
        <rFont val="宋体"/>
        <charset val="134"/>
      </rPr>
      <t>件</t>
    </r>
    <r>
      <rPr>
        <b/>
        <sz val="11"/>
        <color indexed="8"/>
        <rFont val="Arial"/>
        <charset val="0"/>
      </rPr>
      <t xml:space="preserve"> </t>
    </r>
    <r>
      <rPr>
        <b/>
        <sz val="11"/>
        <color indexed="8"/>
        <rFont val="宋体"/>
        <charset val="134"/>
      </rPr>
      <t>数</t>
    </r>
  </si>
  <si>
    <r>
      <rPr>
        <b/>
        <sz val="11"/>
        <color indexed="8"/>
        <rFont val="宋体"/>
        <charset val="134"/>
      </rPr>
      <t>每件净重</t>
    </r>
  </si>
  <si>
    <r>
      <rPr>
        <b/>
        <sz val="11"/>
        <color indexed="8"/>
        <rFont val="宋体"/>
        <charset val="134"/>
      </rPr>
      <t>每件毛重</t>
    </r>
  </si>
  <si>
    <r>
      <rPr>
        <b/>
        <sz val="11"/>
        <color indexed="8"/>
        <rFont val="宋体"/>
        <charset val="134"/>
      </rPr>
      <t>总</t>
    </r>
    <r>
      <rPr>
        <b/>
        <sz val="11"/>
        <color indexed="8"/>
        <rFont val="Arial"/>
        <charset val="0"/>
      </rPr>
      <t xml:space="preserve">  </t>
    </r>
    <r>
      <rPr>
        <b/>
        <sz val="11"/>
        <color indexed="8"/>
        <rFont val="宋体"/>
        <charset val="134"/>
      </rPr>
      <t>重</t>
    </r>
    <r>
      <rPr>
        <b/>
        <sz val="11"/>
        <color indexed="8"/>
        <rFont val="Arial"/>
        <charset val="0"/>
      </rPr>
      <t xml:space="preserve">  </t>
    </r>
    <r>
      <rPr>
        <b/>
        <sz val="11"/>
        <color indexed="8"/>
        <rFont val="宋体"/>
        <charset val="134"/>
      </rPr>
      <t>量</t>
    </r>
  </si>
  <si>
    <r>
      <rPr>
        <b/>
        <sz val="11"/>
        <color indexed="8"/>
        <rFont val="宋体"/>
        <charset val="134"/>
      </rPr>
      <t>生</t>
    </r>
    <r>
      <rPr>
        <b/>
        <sz val="11"/>
        <color indexed="8"/>
        <rFont val="Arial"/>
        <charset val="0"/>
      </rPr>
      <t xml:space="preserve"> </t>
    </r>
    <r>
      <rPr>
        <b/>
        <sz val="11"/>
        <color indexed="8"/>
        <rFont val="宋体"/>
        <charset val="134"/>
      </rPr>
      <t>产</t>
    </r>
    <r>
      <rPr>
        <b/>
        <sz val="11"/>
        <color indexed="8"/>
        <rFont val="Arial"/>
        <charset val="0"/>
      </rPr>
      <t xml:space="preserve"> </t>
    </r>
    <r>
      <rPr>
        <b/>
        <sz val="11"/>
        <color indexed="8"/>
        <rFont val="宋体"/>
        <charset val="134"/>
      </rPr>
      <t>厂</t>
    </r>
    <r>
      <rPr>
        <b/>
        <sz val="11"/>
        <color indexed="8"/>
        <rFont val="Arial"/>
        <charset val="0"/>
      </rPr>
      <t xml:space="preserve"> </t>
    </r>
    <r>
      <rPr>
        <b/>
        <sz val="11"/>
        <color indexed="8"/>
        <rFont val="宋体"/>
        <charset val="134"/>
      </rPr>
      <t>家</t>
    </r>
  </si>
  <si>
    <t>SERIALNO/</t>
  </si>
  <si>
    <t>DESCRIPTION</t>
  </si>
  <si>
    <t>QTY</t>
  </si>
  <si>
    <t>UNTT</t>
  </si>
  <si>
    <t>UNIT</t>
  </si>
  <si>
    <t>AMOUNT</t>
  </si>
  <si>
    <t>QTY PER</t>
  </si>
  <si>
    <t>NO OF</t>
  </si>
  <si>
    <t>N.W.PER</t>
  </si>
  <si>
    <t>G.W.PER</t>
  </si>
  <si>
    <t>TOTALWT</t>
  </si>
  <si>
    <t>MAKER</t>
  </si>
  <si>
    <t>CODE NO.</t>
  </si>
  <si>
    <t>PRICE</t>
  </si>
  <si>
    <t>PACKAGE</t>
  </si>
  <si>
    <t>PACKGES</t>
  </si>
  <si>
    <t>54-1801</t>
  </si>
  <si>
    <t>配件</t>
  </si>
  <si>
    <t>只</t>
  </si>
  <si>
    <t>20×20×10CM</t>
  </si>
  <si>
    <t>474A</t>
  </si>
  <si>
    <t>54-1803</t>
  </si>
  <si>
    <t>7*9</t>
  </si>
  <si>
    <t>54-720-003</t>
  </si>
  <si>
    <t>滚珠</t>
  </si>
  <si>
    <t>54-702-002</t>
  </si>
  <si>
    <t>齿头</t>
  </si>
  <si>
    <t>102*2</t>
  </si>
  <si>
    <t>28.5×28.5×18.5CM</t>
  </si>
  <si>
    <t>54-82202</t>
  </si>
  <si>
    <t>D71-ND660-A12</t>
  </si>
  <si>
    <t>102*4</t>
  </si>
  <si>
    <t>54-3186-P</t>
  </si>
  <si>
    <t>C71-DR475-B12</t>
  </si>
  <si>
    <t>54-3153-P</t>
  </si>
  <si>
    <t>54-1214</t>
  </si>
  <si>
    <t>102*3</t>
  </si>
  <si>
    <t>SN-0781A</t>
  </si>
  <si>
    <t>54-1221</t>
  </si>
  <si>
    <t>54-82209-JD</t>
  </si>
  <si>
    <t>54-82215</t>
  </si>
  <si>
    <t>7297/701/3073/6106</t>
  </si>
  <si>
    <t>79-611-001</t>
  </si>
  <si>
    <t>C71-FD545-A12</t>
  </si>
  <si>
    <t>54-755-024</t>
  </si>
  <si>
    <t>54-82210</t>
  </si>
  <si>
    <t>58021/8463</t>
  </si>
  <si>
    <t>58112/7034</t>
  </si>
  <si>
    <t>58016/8138</t>
  </si>
  <si>
    <t>54-81201</t>
  </si>
  <si>
    <t>105*2</t>
  </si>
  <si>
    <t>33.5×33.5×12.5CM</t>
  </si>
  <si>
    <t>54-81209</t>
  </si>
  <si>
    <t>54-81200</t>
  </si>
  <si>
    <t>106*2</t>
  </si>
  <si>
    <t>54-3209-P</t>
  </si>
  <si>
    <t>111*2</t>
  </si>
  <si>
    <t>32×32×11CM</t>
  </si>
  <si>
    <t>30×20×10CM</t>
  </si>
  <si>
    <t>54-8314</t>
  </si>
  <si>
    <t>单向器</t>
  </si>
  <si>
    <t>54-8232</t>
  </si>
  <si>
    <t>54-204</t>
  </si>
  <si>
    <t>54-149</t>
  </si>
  <si>
    <t>C54-FD545-A12</t>
  </si>
  <si>
    <t>C54-FD545-A14</t>
  </si>
  <si>
    <t>54-155</t>
  </si>
  <si>
    <t>54-157</t>
  </si>
  <si>
    <t>54-168</t>
  </si>
  <si>
    <t>54-91101</t>
  </si>
  <si>
    <t>54-218</t>
  </si>
  <si>
    <t>54-173</t>
  </si>
  <si>
    <t>54-725-257</t>
  </si>
  <si>
    <t>54-81400</t>
  </si>
  <si>
    <t>54-8109</t>
  </si>
  <si>
    <t>54-8112</t>
  </si>
  <si>
    <t>54-166-9</t>
  </si>
  <si>
    <t>54-204-9</t>
  </si>
  <si>
    <t>54-8101</t>
  </si>
  <si>
    <t>54-640-066</t>
  </si>
  <si>
    <t>54-9192</t>
  </si>
  <si>
    <t>3-227</t>
  </si>
  <si>
    <t>54-8126</t>
  </si>
  <si>
    <t>54-9196</t>
  </si>
  <si>
    <t>54-8313</t>
  </si>
  <si>
    <t>54-101</t>
  </si>
  <si>
    <t>54-9121</t>
  </si>
  <si>
    <t>33×33×10CM</t>
  </si>
  <si>
    <t>3-219</t>
  </si>
  <si>
    <t>54-9179</t>
  </si>
  <si>
    <t>54-8146</t>
  </si>
  <si>
    <t>54-500-005</t>
  </si>
  <si>
    <t>54-8402</t>
  </si>
  <si>
    <t>54-9150</t>
  </si>
  <si>
    <t>54-106</t>
  </si>
  <si>
    <t>54-8407</t>
  </si>
  <si>
    <t>54-91130-1</t>
  </si>
  <si>
    <t>4-238</t>
  </si>
  <si>
    <t>54-9200</t>
  </si>
  <si>
    <t>54-8404</t>
  </si>
  <si>
    <t>54-9109</t>
  </si>
  <si>
    <t>54-91140</t>
  </si>
  <si>
    <t>54-9153</t>
  </si>
  <si>
    <t>31.5×18.5×16.5CM</t>
  </si>
  <si>
    <t>54-683-001</t>
  </si>
  <si>
    <t>61-08-4651</t>
  </si>
  <si>
    <t>54-9123</t>
  </si>
  <si>
    <t>54-153</t>
  </si>
  <si>
    <t>35.5×35.5×14.5CM</t>
  </si>
  <si>
    <t>54-124-1</t>
  </si>
  <si>
    <t>35.5×28×14.5CM</t>
  </si>
  <si>
    <t>54-132-1-R</t>
  </si>
  <si>
    <t>54-131-1-R</t>
  </si>
  <si>
    <t>54-8200</t>
  </si>
  <si>
    <t>54-217</t>
  </si>
  <si>
    <t>3-553</t>
  </si>
  <si>
    <t>54-136</t>
  </si>
  <si>
    <t>54-113-1-R</t>
  </si>
  <si>
    <t>54-8157</t>
  </si>
  <si>
    <t>54-551-004</t>
  </si>
  <si>
    <t>54-177</t>
  </si>
  <si>
    <t>4-212</t>
  </si>
  <si>
    <t>54-123-1</t>
  </si>
  <si>
    <t>3-208</t>
  </si>
  <si>
    <t>3-595</t>
  </si>
  <si>
    <t>54-139</t>
  </si>
  <si>
    <t>3-520</t>
  </si>
  <si>
    <t>54-138-9</t>
  </si>
  <si>
    <t>54-112-1-R</t>
  </si>
  <si>
    <t>54-145</t>
  </si>
  <si>
    <t>54-109</t>
  </si>
  <si>
    <t>54-501</t>
  </si>
  <si>
    <t>54-164</t>
  </si>
  <si>
    <t>3-582</t>
  </si>
  <si>
    <t>54-103-9</t>
  </si>
  <si>
    <t>54-118</t>
  </si>
  <si>
    <t>54-8320</t>
  </si>
  <si>
    <t>54-606</t>
  </si>
  <si>
    <t>54-122</t>
  </si>
  <si>
    <t>54-83415</t>
  </si>
  <si>
    <t>54-8237</t>
  </si>
  <si>
    <t>3-267</t>
  </si>
  <si>
    <t>54-159-1-S</t>
  </si>
  <si>
    <t>54-498-001</t>
  </si>
  <si>
    <t>54-107</t>
  </si>
  <si>
    <t>54-9151</t>
  </si>
  <si>
    <t>W470-28</t>
  </si>
  <si>
    <t>54-159</t>
  </si>
  <si>
    <t>54-8227</t>
  </si>
  <si>
    <t>36×23×17.5CM</t>
  </si>
  <si>
    <t>4-121C</t>
  </si>
  <si>
    <t>36.5×28.5×17.5CM</t>
  </si>
  <si>
    <t>36×36×17.5CM</t>
  </si>
  <si>
    <t>54-8207</t>
  </si>
  <si>
    <t>32×32×20CM</t>
  </si>
  <si>
    <t>54-127</t>
  </si>
  <si>
    <t>37×23×19.5CM</t>
  </si>
  <si>
    <t>24-13939</t>
  </si>
  <si>
    <t>皮带轮</t>
  </si>
  <si>
    <t>36×23×18.5CM</t>
  </si>
  <si>
    <t>24-13853</t>
  </si>
  <si>
    <t>24-2279</t>
  </si>
  <si>
    <t>24-91265</t>
  </si>
  <si>
    <t>24-1283</t>
  </si>
  <si>
    <t>W050-32</t>
  </si>
  <si>
    <t>24-91307</t>
  </si>
  <si>
    <t>AB-09461</t>
  </si>
  <si>
    <t>F-552901-02</t>
  </si>
  <si>
    <t>24-363-006</t>
  </si>
  <si>
    <t>24-82323-4</t>
  </si>
  <si>
    <t>F-563248-01</t>
  </si>
  <si>
    <t>24-362-003</t>
  </si>
  <si>
    <t>F-563424</t>
  </si>
  <si>
    <t>W052-25N</t>
  </si>
  <si>
    <t>F-600038</t>
  </si>
  <si>
    <t>24-363-003</t>
  </si>
  <si>
    <t>F-575777</t>
  </si>
  <si>
    <t>24-350-006</t>
  </si>
  <si>
    <t>24-363-004</t>
  </si>
  <si>
    <t>24-370-011</t>
  </si>
  <si>
    <t>F-572904</t>
  </si>
  <si>
    <t>F-236127.04</t>
  </si>
  <si>
    <t>24-2281</t>
  </si>
  <si>
    <t>36×36×10CM</t>
  </si>
  <si>
    <t>24-91117</t>
  </si>
  <si>
    <t>24-11066</t>
  </si>
  <si>
    <t>AB-09432</t>
  </si>
  <si>
    <t>24-82276</t>
  </si>
  <si>
    <t>28714A</t>
  </si>
  <si>
    <t>AZ-0982</t>
  </si>
  <si>
    <t>F-240026.02</t>
  </si>
  <si>
    <t>28650A</t>
  </si>
  <si>
    <t>24-363-010</t>
  </si>
  <si>
    <t>24-2280</t>
  </si>
  <si>
    <t>AN-0986</t>
  </si>
  <si>
    <t>24-91325</t>
  </si>
  <si>
    <t>F-565232.02</t>
  </si>
  <si>
    <t>24-290-001</t>
  </si>
  <si>
    <t>24-2278</t>
  </si>
  <si>
    <t>24-94279</t>
  </si>
  <si>
    <t>F00M391124</t>
  </si>
  <si>
    <t>AT-09328</t>
  </si>
  <si>
    <t>F-552714</t>
  </si>
  <si>
    <t>F00M991260</t>
  </si>
  <si>
    <t>36×28×10CM</t>
  </si>
  <si>
    <t>24-363-041</t>
  </si>
  <si>
    <t>28633A</t>
  </si>
  <si>
    <t>F00M991009</t>
  </si>
  <si>
    <t>24-363-005</t>
  </si>
  <si>
    <t>F-568796</t>
  </si>
  <si>
    <t>AB-09518</t>
  </si>
  <si>
    <t>24-380-028</t>
  </si>
  <si>
    <t>24-82115</t>
  </si>
  <si>
    <t>W052-11N</t>
  </si>
  <si>
    <t>24-94298</t>
  </si>
  <si>
    <t>F-559321</t>
  </si>
  <si>
    <t>F-568003</t>
  </si>
  <si>
    <r>
      <rPr>
        <sz val="12"/>
        <rFont val="宋体"/>
        <charset val="134"/>
      </rPr>
      <t>总</t>
    </r>
    <r>
      <rPr>
        <sz val="12"/>
        <rFont val="Arial"/>
        <charset val="0"/>
      </rPr>
      <t xml:space="preserve"> </t>
    </r>
    <r>
      <rPr>
        <sz val="12"/>
        <rFont val="宋体"/>
        <charset val="134"/>
      </rPr>
      <t>计</t>
    </r>
    <r>
      <rPr>
        <sz val="12"/>
        <rFont val="Arial"/>
        <charset val="0"/>
      </rPr>
      <t>TOTAL</t>
    </r>
  </si>
  <si>
    <t>件</t>
  </si>
  <si>
    <r>
      <rPr>
        <b/>
        <sz val="14"/>
        <rFont val="宋体"/>
        <charset val="0"/>
      </rPr>
      <t>木托</t>
    </r>
    <r>
      <rPr>
        <b/>
        <sz val="14"/>
        <rFont val="Arial"/>
        <charset val="0"/>
      </rPr>
      <t>1  116×116×103CM    72</t>
    </r>
    <r>
      <rPr>
        <b/>
        <sz val="14"/>
        <rFont val="宋体"/>
        <charset val="0"/>
      </rPr>
      <t xml:space="preserve">件 </t>
    </r>
    <r>
      <rPr>
        <b/>
        <sz val="14"/>
        <rFont val="Arial"/>
        <charset val="0"/>
      </rPr>
      <t xml:space="preserve">  1203KGS   1.4CBM</t>
    </r>
  </si>
  <si>
    <r>
      <rPr>
        <b/>
        <sz val="14"/>
        <rFont val="宋体"/>
        <charset val="0"/>
      </rPr>
      <t>木托</t>
    </r>
    <r>
      <rPr>
        <b/>
        <sz val="14"/>
        <rFont val="Arial"/>
        <charset val="0"/>
      </rPr>
      <t>2  116×116×103CM    72</t>
    </r>
    <r>
      <rPr>
        <b/>
        <sz val="14"/>
        <rFont val="宋体"/>
        <charset val="0"/>
      </rPr>
      <t>件</t>
    </r>
    <r>
      <rPr>
        <b/>
        <sz val="14"/>
        <rFont val="Arial"/>
        <charset val="0"/>
      </rPr>
      <t xml:space="preserve">   1195KGS   1.4CBM</t>
    </r>
  </si>
  <si>
    <r>
      <rPr>
        <b/>
        <sz val="14"/>
        <rFont val="宋体"/>
        <charset val="0"/>
      </rPr>
      <t>木托</t>
    </r>
    <r>
      <rPr>
        <b/>
        <sz val="14"/>
        <rFont val="Arial"/>
        <charset val="0"/>
      </rPr>
      <t>3  114×114×103CM    67</t>
    </r>
    <r>
      <rPr>
        <b/>
        <sz val="14"/>
        <rFont val="宋体"/>
        <charset val="0"/>
      </rPr>
      <t>件</t>
    </r>
    <r>
      <rPr>
        <b/>
        <sz val="14"/>
        <rFont val="Arial"/>
        <charset val="0"/>
      </rPr>
      <t xml:space="preserve">    1205KGS   1.3CBM</t>
    </r>
  </si>
  <si>
    <r>
      <rPr>
        <b/>
        <sz val="14"/>
        <rFont val="宋体"/>
        <charset val="0"/>
      </rPr>
      <t>木托</t>
    </r>
    <r>
      <rPr>
        <b/>
        <sz val="14"/>
        <rFont val="Arial"/>
        <charset val="0"/>
      </rPr>
      <t>4  114×114×103CM    62</t>
    </r>
    <r>
      <rPr>
        <b/>
        <sz val="14"/>
        <rFont val="宋体"/>
        <charset val="0"/>
      </rPr>
      <t>件</t>
    </r>
    <r>
      <rPr>
        <b/>
        <sz val="14"/>
        <rFont val="Arial"/>
        <charset val="0"/>
      </rPr>
      <t xml:space="preserve">    923KGS   1.3CBM</t>
    </r>
  </si>
  <si>
    <r>
      <rPr>
        <b/>
        <sz val="14"/>
        <rFont val="宋体"/>
        <charset val="0"/>
      </rPr>
      <t>木托</t>
    </r>
    <r>
      <rPr>
        <b/>
        <sz val="14"/>
        <rFont val="Arial"/>
        <charset val="0"/>
      </rPr>
      <t>5  116×80×100CM    36</t>
    </r>
    <r>
      <rPr>
        <b/>
        <sz val="14"/>
        <rFont val="宋体"/>
        <charset val="0"/>
      </rPr>
      <t>件</t>
    </r>
    <r>
      <rPr>
        <b/>
        <sz val="14"/>
        <rFont val="Arial"/>
        <charset val="0"/>
      </rPr>
      <t xml:space="preserve">    900KGS   1CBM</t>
    </r>
  </si>
  <si>
    <r>
      <rPr>
        <b/>
        <sz val="14"/>
        <rFont val="宋体"/>
        <charset val="0"/>
      </rPr>
      <t>木托</t>
    </r>
    <r>
      <rPr>
        <b/>
        <sz val="14"/>
        <rFont val="Arial"/>
        <charset val="0"/>
      </rPr>
      <t>6  116×80×100CM    36</t>
    </r>
    <r>
      <rPr>
        <b/>
        <sz val="14"/>
        <rFont val="宋体"/>
        <charset val="0"/>
      </rPr>
      <t>件</t>
    </r>
    <r>
      <rPr>
        <b/>
        <sz val="14"/>
        <rFont val="Arial"/>
        <charset val="0"/>
      </rPr>
      <t xml:space="preserve">    834KGS   1CBM</t>
    </r>
  </si>
  <si>
    <r>
      <rPr>
        <b/>
        <sz val="14"/>
        <rFont val="宋体"/>
        <charset val="0"/>
      </rPr>
      <t>木托</t>
    </r>
    <r>
      <rPr>
        <b/>
        <sz val="14"/>
        <rFont val="Arial"/>
        <charset val="0"/>
      </rPr>
      <t>7  116×116×113CM    66</t>
    </r>
    <r>
      <rPr>
        <b/>
        <sz val="14"/>
        <rFont val="宋体"/>
        <charset val="0"/>
      </rPr>
      <t>件</t>
    </r>
    <r>
      <rPr>
        <b/>
        <sz val="14"/>
        <rFont val="Arial"/>
        <charset val="0"/>
      </rPr>
      <t xml:space="preserve">    1002KGS   1.5CBM</t>
    </r>
  </si>
  <si>
    <r>
      <rPr>
        <b/>
        <sz val="14"/>
        <rFont val="宋体"/>
        <charset val="0"/>
      </rPr>
      <t>木托</t>
    </r>
    <r>
      <rPr>
        <b/>
        <sz val="14"/>
        <rFont val="Arial"/>
        <charset val="0"/>
      </rPr>
      <t>8  116×80×120CM    51</t>
    </r>
    <r>
      <rPr>
        <b/>
        <sz val="14"/>
        <rFont val="宋体"/>
        <charset val="0"/>
      </rPr>
      <t>件</t>
    </r>
    <r>
      <rPr>
        <b/>
        <sz val="14"/>
        <rFont val="Arial"/>
        <charset val="0"/>
      </rPr>
      <t xml:space="preserve">    789KGS   1.1CBM</t>
    </r>
  </si>
  <si>
    <t>76-611-001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</si>
</sst>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26" formatCode="\$#,##0.00_);[Red]\(\$#,##0.00\)"/>
    <numFmt numFmtId="176" formatCode="_-* #,##0.00_-;_-* #,##0.00\-;_-* &quot;-&quot;??_-;_-@_-"/>
    <numFmt numFmtId="177" formatCode="_-&quot;د.ا.&quot;\ * #,##0.00_-;_-&quot;د.ا.&quot;\ * #,##0.00\-;_-&quot;د.ا.&quot;\ * &quot;-&quot;??_-;_-@_-"/>
    <numFmt numFmtId="178" formatCode="_-* #,##0_-;_-* #,##0\-;_-* &quot;-&quot;_-;_-@_-"/>
    <numFmt numFmtId="179" formatCode="_-&quot;د.ا.&quot;\ * #,##0_-;_-&quot;د.ا.&quot;\ * #,##0\-;_-&quot;د.ا.&quot;\ * &quot;-&quot;_-;_-@_-"/>
    <numFmt numFmtId="180" formatCode="#,##0_);[Red]\(#,##0\)"/>
    <numFmt numFmtId="181" formatCode="0.00_);[Red]\(0.00\)"/>
    <numFmt numFmtId="182" formatCode="0.00_ "/>
    <numFmt numFmtId="183" formatCode="0_);[Red]\(0\)"/>
    <numFmt numFmtId="184" formatCode="\$#,##0.00;\-\$#,##0.00"/>
    <numFmt numFmtId="185" formatCode="0_ "/>
    <numFmt numFmtId="186" formatCode="General&quot;只&quot;"/>
    <numFmt numFmtId="187" formatCode="#,##0.00_);[Red]\(#,##0.00\)"/>
  </numFmts>
  <fonts count="51">
    <font>
      <sz val="10"/>
      <name val="Arial"/>
      <charset val="0"/>
    </font>
    <font>
      <sz val="11"/>
      <name val="Arial"/>
      <charset val="0"/>
    </font>
    <font>
      <b/>
      <sz val="11"/>
      <name val="Arial"/>
      <charset val="0"/>
    </font>
    <font>
      <b/>
      <sz val="11"/>
      <color rgb="FFFF0000"/>
      <name val="Arial"/>
      <charset val="0"/>
    </font>
    <font>
      <b/>
      <sz val="14"/>
      <name val="Arial"/>
      <charset val="0"/>
    </font>
    <font>
      <sz val="10"/>
      <color indexed="8"/>
      <name val="Arial"/>
      <charset val="0"/>
    </font>
    <font>
      <sz val="12"/>
      <name val="Arial"/>
      <charset val="0"/>
    </font>
    <font>
      <b/>
      <sz val="18"/>
      <name val="宋体"/>
      <charset val="0"/>
    </font>
    <font>
      <b/>
      <sz val="24"/>
      <name val="Arial"/>
      <charset val="134"/>
    </font>
    <font>
      <b/>
      <sz val="24"/>
      <name val="Arial"/>
      <charset val="0"/>
    </font>
    <font>
      <b/>
      <sz val="18"/>
      <name val="Arial"/>
      <charset val="0"/>
    </font>
    <font>
      <sz val="14"/>
      <color indexed="8"/>
      <name val="Arial"/>
      <charset val="134"/>
    </font>
    <font>
      <b/>
      <sz val="11"/>
      <name val="宋体"/>
      <charset val="134"/>
    </font>
    <font>
      <sz val="11"/>
      <color indexed="8"/>
      <name val="Arial"/>
      <charset val="0"/>
    </font>
    <font>
      <sz val="11"/>
      <color rgb="FF000000"/>
      <name val="Arial"/>
      <charset val="134"/>
    </font>
    <font>
      <sz val="11"/>
      <color rgb="FF000000"/>
      <name val="Arial"/>
      <charset val="0"/>
    </font>
    <font>
      <b/>
      <sz val="14"/>
      <color rgb="FF000000"/>
      <name val="Arial"/>
      <charset val="0"/>
    </font>
    <font>
      <b/>
      <sz val="11"/>
      <color indexed="8"/>
      <name val="Arial"/>
      <charset val="0"/>
    </font>
    <font>
      <b/>
      <sz val="11"/>
      <name val="Arial"/>
      <charset val="134"/>
    </font>
    <font>
      <b/>
      <sz val="12"/>
      <name val="Arial"/>
      <charset val="0"/>
    </font>
    <font>
      <b/>
      <sz val="11"/>
      <color indexed="8"/>
      <name val="Arial"/>
      <charset val="134"/>
    </font>
    <font>
      <sz val="12"/>
      <name val="宋体"/>
      <charset val="0"/>
    </font>
    <font>
      <b/>
      <sz val="11"/>
      <name val="宋体"/>
      <charset val="0"/>
    </font>
    <font>
      <sz val="14"/>
      <name val="Arial"/>
      <charset val="0"/>
    </font>
    <font>
      <sz val="12"/>
      <name val="宋体"/>
      <charset val="134"/>
    </font>
    <font>
      <sz val="12"/>
      <color indexed="8"/>
      <name val="Arial"/>
      <charset val="0"/>
    </font>
    <font>
      <sz val="12"/>
      <color indexed="8"/>
      <name val="宋体"/>
      <charset val="134"/>
    </font>
    <font>
      <b/>
      <sz val="14"/>
      <name val="宋体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Tahoma"/>
      <charset val="134"/>
    </font>
    <font>
      <b/>
      <sz val="18"/>
      <color theme="3"/>
      <name val="宋体"/>
      <charset val="134"/>
      <scheme val="major"/>
    </font>
    <font>
      <i/>
      <sz val="11"/>
      <color rgb="FF7F7F7F"/>
      <name val="Tahoma"/>
      <charset val="134"/>
    </font>
    <font>
      <b/>
      <sz val="15"/>
      <color theme="3"/>
      <name val="Tahoma"/>
      <charset val="134"/>
    </font>
    <font>
      <b/>
      <sz val="13"/>
      <color theme="3"/>
      <name val="Tahoma"/>
      <charset val="134"/>
    </font>
    <font>
      <b/>
      <sz val="11"/>
      <color theme="3"/>
      <name val="Tahoma"/>
      <charset val="134"/>
    </font>
    <font>
      <sz val="11"/>
      <color rgb="FF3F3F76"/>
      <name val="Tahoma"/>
      <charset val="134"/>
    </font>
    <font>
      <b/>
      <sz val="11"/>
      <color rgb="FF3F3F3F"/>
      <name val="Tahoma"/>
      <charset val="134"/>
    </font>
    <font>
      <b/>
      <sz val="11"/>
      <color rgb="FFFA7D00"/>
      <name val="Tahoma"/>
      <charset val="134"/>
    </font>
    <font>
      <b/>
      <sz val="11"/>
      <color theme="0"/>
      <name val="Tahoma"/>
      <charset val="134"/>
    </font>
    <font>
      <sz val="11"/>
      <color rgb="FFFA7D00"/>
      <name val="Tahoma"/>
      <charset val="134"/>
    </font>
    <font>
      <b/>
      <sz val="11"/>
      <color theme="1"/>
      <name val="Tahoma"/>
      <charset val="134"/>
    </font>
    <font>
      <sz val="11"/>
      <color rgb="FF006100"/>
      <name val="Tahoma"/>
      <charset val="134"/>
    </font>
    <font>
      <sz val="11"/>
      <color rgb="FF9C0006"/>
      <name val="Tahoma"/>
      <charset val="134"/>
    </font>
    <font>
      <sz val="11"/>
      <color rgb="FF9C6500"/>
      <name val="Tahoma"/>
      <charset val="134"/>
    </font>
    <font>
      <sz val="11"/>
      <color theme="0"/>
      <name val="Tahoma"/>
      <charset val="134"/>
    </font>
    <font>
      <sz val="11"/>
      <color theme="1"/>
      <name val="Tahoma"/>
      <charset val="134"/>
    </font>
    <font>
      <b/>
      <sz val="12"/>
      <color rgb="FF000000"/>
      <name val="Arial"/>
      <charset val="134"/>
    </font>
    <font>
      <b/>
      <sz val="11"/>
      <color indexed="8"/>
      <name val="宋体"/>
      <charset val="134"/>
    </font>
    <font>
      <sz val="11"/>
      <color rgb="FF000000"/>
      <name val="宋体"/>
      <charset val="134"/>
    </font>
    <font>
      <b/>
      <sz val="24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7" borderId="20" applyNumberFormat="0" applyAlignment="0" applyProtection="0">
      <alignment vertical="center"/>
    </xf>
    <xf numFmtId="0" fontId="37" fillId="8" borderId="21" applyNumberFormat="0" applyAlignment="0" applyProtection="0">
      <alignment vertical="center"/>
    </xf>
    <xf numFmtId="0" fontId="38" fillId="8" borderId="20" applyNumberFormat="0" applyAlignment="0" applyProtection="0">
      <alignment vertical="center"/>
    </xf>
    <xf numFmtId="0" fontId="39" fillId="9" borderId="22" applyNumberFormat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7" fillId="0" borderId="25">
      <alignment horizontal="center"/>
    </xf>
    <xf numFmtId="0" fontId="24" fillId="0" borderId="0"/>
    <xf numFmtId="0" fontId="0" fillId="0" borderId="0"/>
    <xf numFmtId="0" fontId="24" fillId="0" borderId="0"/>
    <xf numFmtId="0" fontId="0" fillId="0" borderId="0"/>
  </cellStyleXfs>
  <cellXfs count="15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26" fontId="0" fillId="0" borderId="0" xfId="0" applyNumberFormat="1" applyFont="1" applyFill="1" applyAlignment="1">
      <alignment horizontal="center" vertical="center"/>
    </xf>
    <xf numFmtId="180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181" fontId="5" fillId="0" borderId="0" xfId="0" applyNumberFormat="1" applyFont="1" applyFill="1" applyAlignment="1">
      <alignment horizontal="center" vertical="center"/>
    </xf>
    <xf numFmtId="182" fontId="6" fillId="0" borderId="0" xfId="0" applyNumberFormat="1" applyFont="1" applyFill="1" applyAlignment="1">
      <alignment horizontal="center" vertical="center"/>
    </xf>
    <xf numFmtId="181" fontId="0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181" fontId="9" fillId="0" borderId="0" xfId="0" applyNumberFormat="1" applyFon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181" fontId="10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2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horizontal="center" vertical="center"/>
    </xf>
    <xf numFmtId="181" fontId="12" fillId="0" borderId="0" xfId="0" applyNumberFormat="1" applyFont="1" applyFill="1" applyAlignment="1">
      <alignment vertical="center"/>
    </xf>
    <xf numFmtId="181" fontId="13" fillId="0" borderId="0" xfId="0" applyNumberFormat="1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181" fontId="1" fillId="0" borderId="0" xfId="0" applyNumberFormat="1" applyFont="1" applyFill="1" applyAlignment="1">
      <alignment horizontal="center"/>
    </xf>
    <xf numFmtId="26" fontId="1" fillId="0" borderId="0" xfId="0" applyNumberFormat="1" applyFont="1" applyFill="1" applyAlignment="1">
      <alignment horizontal="center" vertical="center"/>
    </xf>
    <xf numFmtId="180" fontId="13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3" fillId="0" borderId="0" xfId="0" applyNumberFormat="1" applyFont="1" applyFill="1" applyAlignment="1">
      <alignment horizontal="center" vertical="center"/>
    </xf>
    <xf numFmtId="181" fontId="16" fillId="0" borderId="0" xfId="0" applyNumberFormat="1" applyFont="1" applyFill="1" applyAlignment="1">
      <alignment horizontal="center" vertical="center"/>
    </xf>
    <xf numFmtId="183" fontId="17" fillId="0" borderId="1" xfId="0" applyNumberFormat="1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26" fontId="2" fillId="0" borderId="4" xfId="0" applyNumberFormat="1" applyFont="1" applyFill="1" applyBorder="1" applyAlignment="1">
      <alignment horizontal="center" vertical="center"/>
    </xf>
    <xf numFmtId="26" fontId="2" fillId="0" borderId="3" xfId="0" applyNumberFormat="1" applyFont="1" applyFill="1" applyBorder="1" applyAlignment="1">
      <alignment horizontal="center" vertical="center"/>
    </xf>
    <xf numFmtId="180" fontId="17" fillId="0" borderId="3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3" xfId="0" applyNumberFormat="1" applyFont="1" applyFill="1" applyBorder="1" applyAlignment="1">
      <alignment horizontal="center" vertical="center"/>
    </xf>
    <xf numFmtId="181" fontId="17" fillId="0" borderId="3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Alignment="1">
      <alignment horizontal="center" vertical="center"/>
    </xf>
    <xf numFmtId="181" fontId="2" fillId="0" borderId="0" xfId="0" applyNumberFormat="1" applyFont="1" applyFill="1" applyAlignment="1">
      <alignment horizontal="center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NumberFormat="1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26" fontId="18" fillId="0" borderId="6" xfId="0" applyNumberFormat="1" applyFont="1" applyFill="1" applyBorder="1" applyAlignment="1">
      <alignment horizontal="center" vertical="center"/>
    </xf>
    <xf numFmtId="180" fontId="17" fillId="0" borderId="6" xfId="0" applyNumberFormat="1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20" fillId="0" borderId="6" xfId="0" applyNumberFormat="1" applyFont="1" applyFill="1" applyBorder="1" applyAlignment="1">
      <alignment horizontal="center" vertical="center"/>
    </xf>
    <xf numFmtId="181" fontId="20" fillId="0" borderId="6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26" fontId="2" fillId="0" borderId="6" xfId="0" applyNumberFormat="1" applyFont="1" applyFill="1" applyBorder="1" applyAlignment="1">
      <alignment horizontal="center" vertical="center"/>
    </xf>
    <xf numFmtId="180" fontId="17" fillId="0" borderId="0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7" fillId="0" borderId="6" xfId="0" applyNumberFormat="1" applyFont="1" applyFill="1" applyBorder="1" applyAlignment="1">
      <alignment horizontal="center" vertical="center"/>
    </xf>
    <xf numFmtId="181" fontId="17" fillId="0" borderId="6" xfId="0" applyNumberFormat="1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180" fontId="2" fillId="0" borderId="6" xfId="0" applyNumberFormat="1" applyFont="1" applyFill="1" applyBorder="1" applyAlignment="1">
      <alignment horizontal="center" vertical="center"/>
    </xf>
    <xf numFmtId="181" fontId="2" fillId="0" borderId="6" xfId="0" applyNumberFormat="1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center" vertical="center"/>
    </xf>
    <xf numFmtId="26" fontId="6" fillId="0" borderId="7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6" fillId="0" borderId="8" xfId="0" applyNumberFormat="1" applyFont="1" applyFill="1" applyBorder="1" applyAlignment="1">
      <alignment horizontal="center" vertical="center"/>
    </xf>
    <xf numFmtId="26" fontId="6" fillId="0" borderId="8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184" fontId="6" fillId="0" borderId="7" xfId="0" applyNumberFormat="1" applyFont="1" applyFill="1" applyBorder="1" applyAlignment="1">
      <alignment horizontal="center" vertical="center"/>
    </xf>
    <xf numFmtId="184" fontId="6" fillId="0" borderId="8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81" fontId="3" fillId="0" borderId="0" xfId="0" applyNumberFormat="1" applyFont="1" applyFill="1" applyAlignment="1">
      <alignment horizontal="center"/>
    </xf>
    <xf numFmtId="0" fontId="0" fillId="0" borderId="8" xfId="0" applyBorder="1"/>
    <xf numFmtId="0" fontId="6" fillId="0" borderId="11" xfId="0" applyNumberFormat="1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26" fontId="6" fillId="0" borderId="11" xfId="0" applyNumberFormat="1" applyFont="1" applyFill="1" applyBorder="1" applyAlignment="1">
      <alignment horizontal="center" vertical="center"/>
    </xf>
    <xf numFmtId="26" fontId="6" fillId="0" borderId="10" xfId="0" applyNumberFormat="1" applyFont="1" applyFill="1" applyBorder="1" applyAlignment="1">
      <alignment horizontal="center" vertical="center"/>
    </xf>
    <xf numFmtId="184" fontId="6" fillId="0" borderId="7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26" fontId="6" fillId="0" borderId="2" xfId="0" applyNumberFormat="1" applyFont="1" applyFill="1" applyBorder="1" applyAlignment="1">
      <alignment horizontal="center" vertical="center"/>
    </xf>
    <xf numFmtId="181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181" fontId="22" fillId="0" borderId="0" xfId="0" applyNumberFormat="1" applyFont="1" applyFill="1" applyAlignment="1">
      <alignment horizontal="center"/>
    </xf>
    <xf numFmtId="0" fontId="6" fillId="2" borderId="8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6" fillId="0" borderId="8" xfId="0" applyFont="1" applyFill="1" applyBorder="1" applyAlignment="1">
      <alignment vertical="center"/>
    </xf>
    <xf numFmtId="0" fontId="6" fillId="2" borderId="7" xfId="0" applyNumberFormat="1" applyFont="1" applyFill="1" applyBorder="1" applyAlignment="1">
      <alignment horizontal="center" vertical="center"/>
    </xf>
    <xf numFmtId="184" fontId="6" fillId="0" borderId="8" xfId="0" applyNumberFormat="1" applyFont="1" applyFill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85" fontId="21" fillId="0" borderId="8" xfId="0" applyNumberFormat="1" applyFont="1" applyFill="1" applyBorder="1" applyAlignment="1">
      <alignment horizontal="center" vertical="center" wrapText="1"/>
    </xf>
    <xf numFmtId="185" fontId="21" fillId="0" borderId="7" xfId="0" applyNumberFormat="1" applyFont="1" applyFill="1" applyBorder="1" applyAlignment="1">
      <alignment horizontal="center" vertical="center" wrapText="1"/>
    </xf>
    <xf numFmtId="0" fontId="6" fillId="0" borderId="10" xfId="0" applyNumberFormat="1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/>
    </xf>
    <xf numFmtId="185" fontId="6" fillId="0" borderId="8" xfId="0" applyNumberFormat="1" applyFont="1" applyFill="1" applyBorder="1" applyAlignment="1">
      <alignment horizontal="center" vertical="center" wrapText="1"/>
    </xf>
    <xf numFmtId="26" fontId="6" fillId="0" borderId="7" xfId="0" applyNumberFormat="1" applyFont="1" applyFill="1" applyBorder="1" applyAlignment="1">
      <alignment horizontal="center" vertical="center" wrapText="1"/>
    </xf>
    <xf numFmtId="26" fontId="6" fillId="0" borderId="8" xfId="0" applyNumberFormat="1" applyFont="1" applyFill="1" applyBorder="1" applyAlignment="1">
      <alignment horizontal="center" vertical="center" wrapText="1"/>
    </xf>
    <xf numFmtId="0" fontId="6" fillId="0" borderId="8" xfId="0" applyNumberFormat="1" applyFont="1" applyFill="1" applyBorder="1" applyAlignment="1">
      <alignment horizontal="center" vertical="center" wrapText="1"/>
    </xf>
    <xf numFmtId="181" fontId="6" fillId="0" borderId="8" xfId="0" applyNumberFormat="1" applyFont="1" applyFill="1" applyBorder="1" applyAlignment="1">
      <alignment horizontal="center" vertical="center" wrapText="1"/>
    </xf>
    <xf numFmtId="0" fontId="24" fillId="0" borderId="7" xfId="0" applyFont="1" applyFill="1" applyBorder="1" applyAlignment="1">
      <alignment horizontal="center" vertical="center"/>
    </xf>
    <xf numFmtId="186" fontId="6" fillId="0" borderId="7" xfId="0" applyNumberFormat="1" applyFont="1" applyFill="1" applyBorder="1" applyAlignment="1">
      <alignment horizontal="center" vertical="center"/>
    </xf>
    <xf numFmtId="186" fontId="6" fillId="0" borderId="14" xfId="0" applyNumberFormat="1" applyFont="1" applyFill="1" applyBorder="1" applyAlignment="1">
      <alignment horizontal="center" vertical="center"/>
    </xf>
    <xf numFmtId="186" fontId="6" fillId="0" borderId="8" xfId="0" applyNumberFormat="1" applyFont="1" applyFill="1" applyBorder="1" applyAlignment="1">
      <alignment horizontal="center" vertical="center"/>
    </xf>
    <xf numFmtId="26" fontId="6" fillId="0" borderId="13" xfId="0" applyNumberFormat="1" applyFont="1" applyFill="1" applyBorder="1" applyAlignment="1">
      <alignment horizontal="center" vertical="center"/>
    </xf>
    <xf numFmtId="187" fontId="25" fillId="0" borderId="8" xfId="0" applyNumberFormat="1" applyFont="1" applyFill="1" applyBorder="1" applyAlignment="1">
      <alignment horizontal="center" vertical="center"/>
    </xf>
    <xf numFmtId="0" fontId="25" fillId="0" borderId="8" xfId="0" applyFont="1" applyFill="1" applyBorder="1" applyAlignment="1">
      <alignment horizontal="center" vertical="center"/>
    </xf>
    <xf numFmtId="0" fontId="25" fillId="0" borderId="8" xfId="0" applyNumberFormat="1" applyFont="1" applyFill="1" applyBorder="1" applyAlignment="1">
      <alignment horizontal="center" vertical="center"/>
    </xf>
    <xf numFmtId="181" fontId="26" fillId="0" borderId="8" xfId="0" applyNumberFormat="1" applyFont="1" applyFill="1" applyBorder="1" applyAlignment="1">
      <alignment horizontal="center" vertical="center"/>
    </xf>
    <xf numFmtId="181" fontId="25" fillId="0" borderId="8" xfId="0" applyNumberFormat="1" applyFont="1" applyFill="1" applyBorder="1" applyAlignment="1">
      <alignment horizontal="center" vertical="center"/>
    </xf>
    <xf numFmtId="182" fontId="19" fillId="0" borderId="0" xfId="0" applyNumberFormat="1" applyFont="1" applyFill="1" applyAlignment="1">
      <alignment horizontal="center" vertical="center"/>
    </xf>
    <xf numFmtId="181" fontId="4" fillId="0" borderId="0" xfId="0" applyNumberFormat="1" applyFont="1" applyFill="1" applyAlignment="1">
      <alignment horizontal="center"/>
    </xf>
    <xf numFmtId="0" fontId="6" fillId="3" borderId="8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180" fontId="25" fillId="0" borderId="8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ds" xfId="49"/>
    <cellStyle name="常规_Sheet1_48" xfId="50"/>
    <cellStyle name="常规_齿轮头" xfId="51"/>
    <cellStyle name="常规_Sheet1_19" xfId="52"/>
    <cellStyle name="常规_过滤器合同" xfId="53"/>
  </cellStyles>
  <tableStyles count="0" defaultTableStyle="TableStyleMedium9" defaultPivotStyle="PivotStyleLight16"/>
  <colors>
    <mruColors>
      <color rgb="00CC047A"/>
      <color rgb="00BA0689"/>
      <color rgb="00C013EB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XFD646"/>
  <sheetViews>
    <sheetView tabSelected="1" zoomScale="85" zoomScaleNormal="85" zoomScaleSheetLayoutView="60" workbookViewId="0">
      <selection activeCell="V550" sqref="V550"/>
    </sheetView>
  </sheetViews>
  <sheetFormatPr defaultColWidth="9.13333333333333" defaultRowHeight="21" customHeight="1"/>
  <cols>
    <col min="1" max="1" width="24.2" style="7" customWidth="1"/>
    <col min="2" max="2" width="19.4857142857143" style="8" customWidth="1"/>
    <col min="3" max="3" width="9.6" style="7" customWidth="1"/>
    <col min="4" max="4" width="8.57142857142857" style="7" customWidth="1"/>
    <col min="5" max="5" width="5" style="7" customWidth="1"/>
    <col min="6" max="6" width="12.8666666666667" style="9" customWidth="1"/>
    <col min="7" max="7" width="15.8666666666667" style="9" customWidth="1"/>
    <col min="8" max="8" width="8.85714285714286" style="10" customWidth="1"/>
    <col min="9" max="9" width="7.56190476190476" style="11" customWidth="1"/>
    <col min="10" max="10" width="9.57142857142857" style="12" customWidth="1"/>
    <col min="11" max="11" width="10.9142857142857" style="13" customWidth="1"/>
    <col min="12" max="12" width="9" style="13" customWidth="1"/>
    <col min="13" max="13" width="11.1047619047619" style="13" customWidth="1"/>
    <col min="14" max="14" width="22.8571428571429" style="11" customWidth="1"/>
    <col min="15" max="15" width="11.9238095238095" style="14" customWidth="1"/>
    <col min="16" max="17" width="10.1428571428571" style="15"/>
    <col min="18" max="16384" width="9.13333333333333" style="5"/>
  </cols>
  <sheetData>
    <row r="1" ht="30.75" customHeight="1" spans="1:17">
      <c r="A1" s="16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9"/>
      <c r="K1" s="18"/>
      <c r="L1" s="18"/>
      <c r="M1" s="18"/>
    </row>
    <row r="2" customHeight="1" spans="1:17">
      <c r="B2" s="20" t="s">
        <v>2</v>
      </c>
      <c r="C2" s="21"/>
      <c r="D2" s="21"/>
      <c r="E2" s="21"/>
      <c r="F2" s="21"/>
      <c r="G2" s="21"/>
      <c r="H2" s="21"/>
      <c r="I2" s="21"/>
      <c r="J2" s="20"/>
      <c r="K2" s="21"/>
      <c r="L2" s="21"/>
      <c r="M2" s="21"/>
      <c r="N2" s="22"/>
      <c r="O2" s="23"/>
    </row>
    <row r="3" s="2" customFormat="1" ht="20.25" customHeight="1" spans="1:17">
      <c r="A3" s="24" t="s">
        <v>3</v>
      </c>
      <c r="B3" s="25"/>
      <c r="C3" s="24"/>
      <c r="D3" s="24"/>
      <c r="E3" s="24"/>
      <c r="F3" s="24"/>
      <c r="G3" s="24"/>
      <c r="H3" s="24"/>
      <c r="I3" s="26">
        <v>1.14</v>
      </c>
      <c r="J3" s="25"/>
      <c r="K3" s="27"/>
      <c r="L3" s="27"/>
      <c r="M3" s="28"/>
      <c r="N3" s="29" t="s">
        <v>4</v>
      </c>
      <c r="O3" s="23"/>
      <c r="P3" s="30"/>
      <c r="Q3" s="30"/>
    </row>
    <row r="4" s="2" customFormat="1" customHeight="1" spans="1:17">
      <c r="A4" s="24" t="s">
        <v>5</v>
      </c>
      <c r="B4" s="24"/>
      <c r="C4" s="24"/>
      <c r="D4" s="24"/>
      <c r="E4" s="24"/>
      <c r="F4" s="31"/>
      <c r="H4" s="32"/>
      <c r="I4" s="33"/>
      <c r="J4" s="34"/>
      <c r="K4" s="35"/>
      <c r="L4" s="35"/>
      <c r="M4" s="28"/>
      <c r="N4" s="36" t="s">
        <v>6</v>
      </c>
      <c r="O4" s="23"/>
      <c r="P4" s="30"/>
      <c r="Q4" s="30"/>
    </row>
    <row r="5" s="3" customFormat="1" ht="13" customHeight="1" spans="1:17">
      <c r="A5" s="37" t="s">
        <v>7</v>
      </c>
      <c r="B5" s="38"/>
      <c r="C5" s="39"/>
      <c r="D5" s="39"/>
      <c r="E5" s="39"/>
      <c r="F5" s="40"/>
      <c r="G5" s="41"/>
      <c r="H5" s="42"/>
      <c r="I5" s="43"/>
      <c r="J5" s="44"/>
      <c r="K5" s="45"/>
      <c r="L5" s="45"/>
      <c r="M5" s="45"/>
      <c r="N5" s="43"/>
      <c r="O5" s="46"/>
      <c r="P5" s="47"/>
      <c r="Q5" s="47"/>
    </row>
    <row r="6" s="3" customFormat="1" ht="13" customHeight="1" spans="1:17">
      <c r="A6" s="48" t="s">
        <v>8</v>
      </c>
      <c r="B6" s="49" t="s">
        <v>9</v>
      </c>
      <c r="C6" s="50" t="s">
        <v>10</v>
      </c>
      <c r="D6" s="50" t="s">
        <v>11</v>
      </c>
      <c r="E6" s="50" t="s">
        <v>12</v>
      </c>
      <c r="F6" s="51" t="s">
        <v>13</v>
      </c>
      <c r="G6" s="51" t="s">
        <v>14</v>
      </c>
      <c r="H6" s="52"/>
      <c r="I6" s="53" t="s">
        <v>15</v>
      </c>
      <c r="J6" s="54" t="s">
        <v>16</v>
      </c>
      <c r="K6" s="55" t="s">
        <v>17</v>
      </c>
      <c r="L6" s="55" t="s">
        <v>18</v>
      </c>
      <c r="M6" s="55" t="s">
        <v>19</v>
      </c>
      <c r="N6" s="53" t="s">
        <v>20</v>
      </c>
      <c r="O6" s="46"/>
      <c r="P6" s="47"/>
      <c r="Q6" s="47"/>
    </row>
    <row r="7" s="3" customFormat="1" ht="13" customHeight="1" spans="1:17">
      <c r="A7" s="56" t="s">
        <v>21</v>
      </c>
      <c r="B7" s="57"/>
      <c r="C7" s="58" t="s">
        <v>22</v>
      </c>
      <c r="D7" s="58" t="s">
        <v>23</v>
      </c>
      <c r="E7" s="58" t="s">
        <v>24</v>
      </c>
      <c r="F7" s="59" t="s">
        <v>25</v>
      </c>
      <c r="G7" s="59" t="s">
        <v>26</v>
      </c>
      <c r="H7" s="60"/>
      <c r="I7" s="61" t="s">
        <v>27</v>
      </c>
      <c r="J7" s="62" t="s">
        <v>28</v>
      </c>
      <c r="K7" s="63" t="s">
        <v>29</v>
      </c>
      <c r="L7" s="63" t="s">
        <v>30</v>
      </c>
      <c r="M7" s="63" t="s">
        <v>31</v>
      </c>
      <c r="N7" s="64" t="s">
        <v>32</v>
      </c>
      <c r="O7" s="46"/>
      <c r="P7" s="47"/>
      <c r="Q7" s="47"/>
    </row>
    <row r="8" s="3" customFormat="1" ht="19" customHeight="1" spans="1:17">
      <c r="A8" s="56" t="s">
        <v>33</v>
      </c>
      <c r="B8" s="57"/>
      <c r="C8" s="58"/>
      <c r="D8" s="58"/>
      <c r="E8" s="58"/>
      <c r="F8" s="59" t="s">
        <v>34</v>
      </c>
      <c r="G8" s="59"/>
      <c r="H8" s="65"/>
      <c r="I8" s="58" t="s">
        <v>35</v>
      </c>
      <c r="J8" s="57" t="s">
        <v>36</v>
      </c>
      <c r="K8" s="66" t="s">
        <v>35</v>
      </c>
      <c r="L8" s="66" t="s">
        <v>35</v>
      </c>
      <c r="M8" s="66"/>
      <c r="N8" s="58"/>
      <c r="O8" s="46"/>
      <c r="P8" s="47"/>
      <c r="Q8" s="47"/>
    </row>
    <row r="9" s="3" customFormat="1" ht="19" customHeight="1" spans="1:17">
      <c r="A9" s="67">
        <v>480</v>
      </c>
      <c r="B9" s="68" t="s">
        <v>37</v>
      </c>
      <c r="C9" s="69" t="s">
        <v>38</v>
      </c>
      <c r="D9" s="68">
        <v>290</v>
      </c>
      <c r="E9" s="70" t="s">
        <v>39</v>
      </c>
      <c r="F9" s="71">
        <v>0.08</v>
      </c>
      <c r="G9" s="71">
        <f>F9*D9</f>
        <v>23.2</v>
      </c>
      <c r="H9" s="68"/>
      <c r="I9" s="68">
        <v>290</v>
      </c>
      <c r="J9" s="68">
        <f>D9/I9</f>
        <v>1</v>
      </c>
      <c r="K9" s="68">
        <v>0.51</v>
      </c>
      <c r="L9" s="68">
        <v>1.51</v>
      </c>
      <c r="M9" s="68">
        <f>L9*J9</f>
        <v>1.51</v>
      </c>
      <c r="N9" s="68" t="s">
        <v>40</v>
      </c>
      <c r="O9" s="23">
        <v>405228</v>
      </c>
      <c r="P9" s="47"/>
      <c r="Q9" s="47"/>
    </row>
    <row r="10" s="3" customFormat="1" ht="19" customHeight="1" spans="1:17">
      <c r="A10" s="67" t="s">
        <v>41</v>
      </c>
      <c r="B10" s="68" t="s">
        <v>42</v>
      </c>
      <c r="C10" s="69" t="s">
        <v>38</v>
      </c>
      <c r="D10" s="68">
        <v>92</v>
      </c>
      <c r="E10" s="70" t="s">
        <v>39</v>
      </c>
      <c r="F10" s="71">
        <v>0.14</v>
      </c>
      <c r="G10" s="71">
        <f>F10*D10</f>
        <v>12.88</v>
      </c>
      <c r="H10" s="68"/>
      <c r="I10" s="68">
        <v>92</v>
      </c>
      <c r="J10" s="68">
        <f>D10/I10</f>
        <v>1</v>
      </c>
      <c r="K10" s="68">
        <v>9.6</v>
      </c>
      <c r="L10" s="68">
        <v>10.6</v>
      </c>
      <c r="M10" s="68">
        <f>L10*J10</f>
        <v>10.6</v>
      </c>
      <c r="N10" s="68" t="s">
        <v>40</v>
      </c>
      <c r="O10" s="23">
        <v>405228</v>
      </c>
      <c r="P10" s="47"/>
      <c r="Q10" s="47"/>
    </row>
    <row r="11" s="3" customFormat="1" ht="19" customHeight="1" spans="1:17">
      <c r="A11" s="67"/>
      <c r="B11" s="68"/>
      <c r="C11" s="69"/>
      <c r="D11" s="68"/>
      <c r="E11" s="70"/>
      <c r="F11" s="71"/>
      <c r="G11" s="71"/>
      <c r="H11" s="68"/>
      <c r="I11" s="68"/>
      <c r="J11" s="68"/>
      <c r="K11" s="68"/>
      <c r="L11" s="68"/>
      <c r="M11" s="68"/>
      <c r="N11" s="68"/>
      <c r="O11" s="23"/>
      <c r="P11" s="72"/>
      <c r="Q11" s="47"/>
    </row>
    <row r="12" s="3" customFormat="1" ht="19" customHeight="1" spans="1:17">
      <c r="A12" s="73" t="s">
        <v>43</v>
      </c>
      <c r="B12" s="68" t="s">
        <v>44</v>
      </c>
      <c r="C12" s="70" t="s">
        <v>45</v>
      </c>
      <c r="D12" s="68">
        <v>943</v>
      </c>
      <c r="E12" s="70" t="s">
        <v>39</v>
      </c>
      <c r="F12" s="74">
        <v>0.04</v>
      </c>
      <c r="G12" s="71">
        <f>F12*D12</f>
        <v>37.72</v>
      </c>
      <c r="H12" s="68"/>
      <c r="I12" s="68">
        <v>943</v>
      </c>
      <c r="J12" s="68">
        <f>D12/I12</f>
        <v>1</v>
      </c>
      <c r="K12" s="68">
        <v>2.5</v>
      </c>
      <c r="L12" s="68">
        <v>3.5</v>
      </c>
      <c r="M12" s="68">
        <f>L12*J12</f>
        <v>3.5</v>
      </c>
      <c r="N12" s="68" t="s">
        <v>40</v>
      </c>
      <c r="O12" s="75">
        <v>405398</v>
      </c>
      <c r="P12" s="72"/>
      <c r="Q12" s="72"/>
    </row>
    <row r="13" s="3" customFormat="1" ht="19" customHeight="1" spans="1:17">
      <c r="A13" s="67"/>
      <c r="B13" s="68"/>
      <c r="C13" s="70"/>
      <c r="D13" s="68"/>
      <c r="E13" s="70"/>
      <c r="F13" s="71"/>
      <c r="G13" s="71"/>
      <c r="H13" s="68"/>
      <c r="I13" s="68"/>
      <c r="J13" s="68"/>
      <c r="K13" s="68"/>
      <c r="L13" s="68"/>
      <c r="M13" s="68"/>
      <c r="N13" s="68"/>
      <c r="O13" s="75"/>
      <c r="P13" s="72"/>
      <c r="Q13" s="72"/>
    </row>
    <row r="14" s="3" customFormat="1" ht="19" customHeight="1" spans="1:17">
      <c r="A14" s="67">
        <v>7223</v>
      </c>
      <c r="B14" s="68" t="s">
        <v>46</v>
      </c>
      <c r="C14" s="69" t="s">
        <v>47</v>
      </c>
      <c r="D14" s="68">
        <v>100</v>
      </c>
      <c r="E14" s="69" t="s">
        <v>39</v>
      </c>
      <c r="F14" s="76">
        <v>0.91</v>
      </c>
      <c r="G14" s="77">
        <f t="shared" ref="G14:G48" si="0">F14*D14</f>
        <v>91</v>
      </c>
      <c r="H14" s="78" t="s">
        <v>48</v>
      </c>
      <c r="I14" s="79">
        <v>100</v>
      </c>
      <c r="J14" s="68">
        <f>D14/I14</f>
        <v>1</v>
      </c>
      <c r="K14" s="79">
        <v>11.5</v>
      </c>
      <c r="L14" s="79">
        <v>12.8</v>
      </c>
      <c r="M14" s="68">
        <f>L14*J14</f>
        <v>12.8</v>
      </c>
      <c r="N14" s="79" t="s">
        <v>49</v>
      </c>
      <c r="O14" s="23">
        <v>420867</v>
      </c>
      <c r="P14" s="47"/>
      <c r="Q14" s="47"/>
    </row>
    <row r="15" s="3" customFormat="1" ht="19" customHeight="1" spans="1:17">
      <c r="A15" s="67">
        <v>8138</v>
      </c>
      <c r="B15" s="68" t="s">
        <v>50</v>
      </c>
      <c r="C15" s="70" t="s">
        <v>47</v>
      </c>
      <c r="D15" s="68">
        <v>100</v>
      </c>
      <c r="E15" s="70" t="s">
        <v>39</v>
      </c>
      <c r="F15" s="71">
        <v>1.01</v>
      </c>
      <c r="G15" s="71">
        <f t="shared" si="0"/>
        <v>101</v>
      </c>
      <c r="H15" s="68" t="s">
        <v>48</v>
      </c>
      <c r="I15" s="68">
        <v>100</v>
      </c>
      <c r="J15" s="68">
        <f t="shared" ref="J15:J20" si="1">D15/I15</f>
        <v>1</v>
      </c>
      <c r="K15" s="68">
        <v>12</v>
      </c>
      <c r="L15" s="68">
        <v>13.3</v>
      </c>
      <c r="M15" s="68">
        <f t="shared" ref="M15:M21" si="2">L15*J15</f>
        <v>13.3</v>
      </c>
      <c r="N15" s="68" t="s">
        <v>49</v>
      </c>
      <c r="O15" s="75">
        <v>405398</v>
      </c>
      <c r="P15" s="72"/>
      <c r="Q15" s="72"/>
    </row>
    <row r="16" s="4" customFormat="1" ht="19" customHeight="1" spans="1:17">
      <c r="A16" s="67">
        <v>8463</v>
      </c>
      <c r="B16" s="68" t="s">
        <v>51</v>
      </c>
      <c r="C16" s="70" t="s">
        <v>47</v>
      </c>
      <c r="D16" s="68">
        <v>200</v>
      </c>
      <c r="E16" s="70" t="s">
        <v>39</v>
      </c>
      <c r="F16" s="71">
        <v>0.78</v>
      </c>
      <c r="G16" s="71">
        <f t="shared" si="0"/>
        <v>156</v>
      </c>
      <c r="H16" s="68" t="s">
        <v>52</v>
      </c>
      <c r="I16" s="68">
        <v>200</v>
      </c>
      <c r="J16" s="68">
        <f t="shared" si="1"/>
        <v>1</v>
      </c>
      <c r="K16" s="68">
        <v>12</v>
      </c>
      <c r="L16" s="68">
        <v>13</v>
      </c>
      <c r="M16" s="68">
        <f t="shared" si="2"/>
        <v>13</v>
      </c>
      <c r="N16" s="68" t="s">
        <v>49</v>
      </c>
      <c r="O16" s="75">
        <v>405398</v>
      </c>
      <c r="P16" s="72"/>
      <c r="Q16" s="72"/>
    </row>
    <row r="17" s="3" customFormat="1" ht="19" customHeight="1" spans="1:17">
      <c r="A17" s="67">
        <v>8724</v>
      </c>
      <c r="B17" s="68" t="s">
        <v>53</v>
      </c>
      <c r="C17" s="70" t="s">
        <v>47</v>
      </c>
      <c r="D17" s="68">
        <v>400</v>
      </c>
      <c r="E17" s="70" t="s">
        <v>39</v>
      </c>
      <c r="F17" s="71">
        <v>0.82</v>
      </c>
      <c r="G17" s="71">
        <f t="shared" si="0"/>
        <v>328</v>
      </c>
      <c r="H17" s="68" t="s">
        <v>52</v>
      </c>
      <c r="I17" s="68">
        <v>200</v>
      </c>
      <c r="J17" s="68">
        <f t="shared" si="1"/>
        <v>2</v>
      </c>
      <c r="K17" s="68">
        <v>21.3</v>
      </c>
      <c r="L17" s="68">
        <v>22.6</v>
      </c>
      <c r="M17" s="68">
        <f t="shared" si="2"/>
        <v>45.2</v>
      </c>
      <c r="N17" s="68" t="s">
        <v>49</v>
      </c>
      <c r="O17" s="75">
        <v>405398</v>
      </c>
      <c r="P17" s="72"/>
      <c r="Q17" s="72"/>
    </row>
    <row r="18" s="4" customFormat="1" ht="19" customHeight="1" spans="1:17">
      <c r="A18" s="67">
        <v>8306</v>
      </c>
      <c r="B18" s="68" t="s">
        <v>54</v>
      </c>
      <c r="C18" s="70" t="s">
        <v>47</v>
      </c>
      <c r="D18" s="68">
        <v>1200</v>
      </c>
      <c r="E18" s="70" t="s">
        <v>39</v>
      </c>
      <c r="F18" s="71">
        <v>0.7</v>
      </c>
      <c r="G18" s="71">
        <f t="shared" si="0"/>
        <v>840</v>
      </c>
      <c r="H18" s="68" t="s">
        <v>52</v>
      </c>
      <c r="I18" s="68">
        <v>200</v>
      </c>
      <c r="J18" s="68">
        <f t="shared" si="1"/>
        <v>6</v>
      </c>
      <c r="K18" s="68">
        <v>21.3</v>
      </c>
      <c r="L18" s="68">
        <v>22.6</v>
      </c>
      <c r="M18" s="68">
        <f t="shared" si="2"/>
        <v>135.6</v>
      </c>
      <c r="N18" s="68" t="s">
        <v>49</v>
      </c>
      <c r="O18" s="75">
        <v>405398</v>
      </c>
      <c r="P18" s="72"/>
      <c r="Q18" s="72"/>
    </row>
    <row r="19" s="4" customFormat="1" ht="19" customHeight="1" spans="1:17">
      <c r="A19" s="67">
        <v>8423</v>
      </c>
      <c r="B19" s="68" t="s">
        <v>55</v>
      </c>
      <c r="C19" s="70" t="s">
        <v>47</v>
      </c>
      <c r="D19" s="68">
        <v>1200</v>
      </c>
      <c r="E19" s="70" t="s">
        <v>39</v>
      </c>
      <c r="F19" s="71">
        <v>0.73</v>
      </c>
      <c r="G19" s="71">
        <f t="shared" si="0"/>
        <v>876</v>
      </c>
      <c r="H19" s="68" t="s">
        <v>52</v>
      </c>
      <c r="I19" s="68">
        <v>200</v>
      </c>
      <c r="J19" s="68">
        <f t="shared" si="1"/>
        <v>6</v>
      </c>
      <c r="K19" s="68">
        <v>12.9</v>
      </c>
      <c r="L19" s="68">
        <v>14.2</v>
      </c>
      <c r="M19" s="68">
        <f t="shared" si="2"/>
        <v>85.2</v>
      </c>
      <c r="N19" s="68" t="s">
        <v>49</v>
      </c>
      <c r="O19" s="75">
        <v>405398</v>
      </c>
      <c r="P19" s="72"/>
      <c r="Q19" s="72"/>
    </row>
    <row r="20" s="4" customFormat="1" ht="19" customHeight="1" spans="1:17">
      <c r="A20" s="67">
        <v>8433</v>
      </c>
      <c r="B20" s="68" t="s">
        <v>56</v>
      </c>
      <c r="C20" s="70" t="s">
        <v>47</v>
      </c>
      <c r="D20" s="68">
        <v>700</v>
      </c>
      <c r="E20" s="70" t="s">
        <v>39</v>
      </c>
      <c r="F20" s="71">
        <v>0.8</v>
      </c>
      <c r="G20" s="71">
        <f t="shared" si="0"/>
        <v>560</v>
      </c>
      <c r="H20" s="68" t="s">
        <v>48</v>
      </c>
      <c r="I20" s="68">
        <v>100</v>
      </c>
      <c r="J20" s="68">
        <f t="shared" si="1"/>
        <v>7</v>
      </c>
      <c r="K20" s="68">
        <v>10.5</v>
      </c>
      <c r="L20" s="68">
        <v>11.5</v>
      </c>
      <c r="M20" s="68">
        <f t="shared" si="2"/>
        <v>80.5</v>
      </c>
      <c r="N20" s="68" t="s">
        <v>49</v>
      </c>
      <c r="O20" s="75">
        <v>405398</v>
      </c>
      <c r="P20" s="72"/>
      <c r="Q20" s="72"/>
    </row>
    <row r="21" s="3" customFormat="1" ht="19" customHeight="1" spans="1:17">
      <c r="A21" s="67">
        <v>8306</v>
      </c>
      <c r="B21" s="68" t="s">
        <v>54</v>
      </c>
      <c r="C21" s="70" t="s">
        <v>47</v>
      </c>
      <c r="D21" s="68">
        <v>3</v>
      </c>
      <c r="E21" s="70" t="s">
        <v>39</v>
      </c>
      <c r="F21" s="71">
        <v>0.7</v>
      </c>
      <c r="G21" s="71">
        <f t="shared" si="0"/>
        <v>2.1</v>
      </c>
      <c r="H21" s="68" t="s">
        <v>57</v>
      </c>
      <c r="I21" s="80">
        <v>126</v>
      </c>
      <c r="J21" s="80">
        <v>1</v>
      </c>
      <c r="K21" s="80">
        <v>12.89</v>
      </c>
      <c r="L21" s="80">
        <v>13.89</v>
      </c>
      <c r="M21" s="80">
        <f t="shared" si="2"/>
        <v>13.89</v>
      </c>
      <c r="N21" s="80" t="s">
        <v>49</v>
      </c>
      <c r="O21" s="75">
        <v>405398</v>
      </c>
      <c r="P21" s="72">
        <v>1</v>
      </c>
      <c r="Q21" s="72">
        <v>0.32</v>
      </c>
    </row>
    <row r="22" s="3" customFormat="1" ht="19" customHeight="1" spans="1:17">
      <c r="A22" s="67">
        <v>8423</v>
      </c>
      <c r="B22" s="68" t="s">
        <v>55</v>
      </c>
      <c r="C22" s="70" t="s">
        <v>47</v>
      </c>
      <c r="D22" s="68">
        <v>3</v>
      </c>
      <c r="E22" s="70" t="s">
        <v>39</v>
      </c>
      <c r="F22" s="71">
        <v>0.73</v>
      </c>
      <c r="G22" s="71">
        <f t="shared" si="0"/>
        <v>2.19</v>
      </c>
      <c r="H22" s="68" t="s">
        <v>57</v>
      </c>
      <c r="I22" s="81"/>
      <c r="J22" s="81"/>
      <c r="K22" s="81"/>
      <c r="L22" s="81"/>
      <c r="M22" s="81"/>
      <c r="N22" s="81"/>
      <c r="O22" s="75">
        <v>405398</v>
      </c>
      <c r="P22" s="72">
        <v>1</v>
      </c>
      <c r="Q22" s="72">
        <v>0.2</v>
      </c>
    </row>
    <row r="23" s="3" customFormat="1" ht="19" customHeight="1" spans="1:17">
      <c r="A23" s="67">
        <v>8433</v>
      </c>
      <c r="B23" s="68" t="s">
        <v>56</v>
      </c>
      <c r="C23" s="70" t="s">
        <v>47</v>
      </c>
      <c r="D23" s="68">
        <v>4</v>
      </c>
      <c r="E23" s="70" t="s">
        <v>39</v>
      </c>
      <c r="F23" s="71">
        <v>0.8</v>
      </c>
      <c r="G23" s="71">
        <f t="shared" si="0"/>
        <v>3.2</v>
      </c>
      <c r="H23" s="68" t="s">
        <v>48</v>
      </c>
      <c r="I23" s="81"/>
      <c r="J23" s="81"/>
      <c r="K23" s="81"/>
      <c r="L23" s="81"/>
      <c r="M23" s="81"/>
      <c r="N23" s="81"/>
      <c r="O23" s="75">
        <v>405398</v>
      </c>
      <c r="P23" s="72">
        <v>2</v>
      </c>
      <c r="Q23" s="72">
        <v>0.42</v>
      </c>
    </row>
    <row r="24" s="3" customFormat="1" ht="19" customHeight="1" spans="1:17">
      <c r="A24" s="67">
        <v>8724</v>
      </c>
      <c r="B24" s="68" t="s">
        <v>53</v>
      </c>
      <c r="C24" s="70" t="s">
        <v>47</v>
      </c>
      <c r="D24" s="68">
        <v>15</v>
      </c>
      <c r="E24" s="70" t="s">
        <v>39</v>
      </c>
      <c r="F24" s="71">
        <v>0.82</v>
      </c>
      <c r="G24" s="71">
        <f t="shared" si="0"/>
        <v>12.3</v>
      </c>
      <c r="H24" s="68" t="s">
        <v>57</v>
      </c>
      <c r="I24" s="81"/>
      <c r="J24" s="81"/>
      <c r="K24" s="81"/>
      <c r="L24" s="81"/>
      <c r="M24" s="81"/>
      <c r="N24" s="81"/>
      <c r="O24" s="75">
        <v>405398</v>
      </c>
      <c r="P24" s="72">
        <v>5</v>
      </c>
      <c r="Q24" s="72">
        <v>1.6</v>
      </c>
    </row>
    <row r="25" s="3" customFormat="1" ht="19" customHeight="1" spans="1:17">
      <c r="A25" s="67">
        <v>8138</v>
      </c>
      <c r="B25" s="68" t="s">
        <v>50</v>
      </c>
      <c r="C25" s="70" t="s">
        <v>47</v>
      </c>
      <c r="D25" s="68">
        <v>20</v>
      </c>
      <c r="E25" s="70" t="s">
        <v>39</v>
      </c>
      <c r="F25" s="71">
        <v>1.01</v>
      </c>
      <c r="G25" s="71">
        <f t="shared" si="0"/>
        <v>20.2</v>
      </c>
      <c r="H25" s="68" t="s">
        <v>48</v>
      </c>
      <c r="I25" s="81"/>
      <c r="J25" s="81"/>
      <c r="K25" s="81"/>
      <c r="L25" s="81"/>
      <c r="M25" s="81"/>
      <c r="N25" s="81"/>
      <c r="O25" s="75">
        <v>405398</v>
      </c>
      <c r="P25" s="72">
        <v>10</v>
      </c>
      <c r="Q25" s="72">
        <v>2.4</v>
      </c>
    </row>
    <row r="26" s="3" customFormat="1" ht="19" customHeight="1" spans="1:17">
      <c r="A26" s="67">
        <v>8306</v>
      </c>
      <c r="B26" s="68" t="s">
        <v>54</v>
      </c>
      <c r="C26" s="70" t="s">
        <v>47</v>
      </c>
      <c r="D26" s="68">
        <v>64</v>
      </c>
      <c r="E26" s="70" t="s">
        <v>39</v>
      </c>
      <c r="F26" s="71">
        <v>0.7</v>
      </c>
      <c r="G26" s="71">
        <f t="shared" si="0"/>
        <v>44.8</v>
      </c>
      <c r="H26" s="68" t="s">
        <v>52</v>
      </c>
      <c r="I26" s="81"/>
      <c r="J26" s="81"/>
      <c r="K26" s="81"/>
      <c r="L26" s="81"/>
      <c r="M26" s="81"/>
      <c r="N26" s="81"/>
      <c r="O26" s="75">
        <v>405398</v>
      </c>
      <c r="P26" s="72">
        <v>16</v>
      </c>
      <c r="Q26" s="72">
        <v>6.8</v>
      </c>
    </row>
    <row r="27" s="4" customFormat="1" ht="19" customHeight="1" spans="1:17">
      <c r="A27" s="67">
        <v>7034</v>
      </c>
      <c r="B27" s="68" t="s">
        <v>58</v>
      </c>
      <c r="C27" s="70" t="s">
        <v>47</v>
      </c>
      <c r="D27" s="68">
        <v>1</v>
      </c>
      <c r="E27" s="70" t="s">
        <v>39</v>
      </c>
      <c r="F27" s="71">
        <v>0.8</v>
      </c>
      <c r="G27" s="71">
        <f t="shared" si="0"/>
        <v>0.8</v>
      </c>
      <c r="H27" s="68">
        <v>102</v>
      </c>
      <c r="I27" s="81"/>
      <c r="J27" s="81"/>
      <c r="K27" s="81"/>
      <c r="L27" s="81"/>
      <c r="M27" s="81"/>
      <c r="N27" s="81"/>
      <c r="O27" s="75">
        <v>405398</v>
      </c>
      <c r="P27" s="72">
        <v>1</v>
      </c>
      <c r="Q27" s="72">
        <v>0.06</v>
      </c>
    </row>
    <row r="28" s="4" customFormat="1" ht="19" customHeight="1" spans="1:17">
      <c r="A28" s="67">
        <v>7363</v>
      </c>
      <c r="B28" s="68" t="s">
        <v>59</v>
      </c>
      <c r="C28" s="70" t="s">
        <v>47</v>
      </c>
      <c r="D28" s="68">
        <v>3</v>
      </c>
      <c r="E28" s="70" t="s">
        <v>39</v>
      </c>
      <c r="F28" s="71">
        <v>1.39</v>
      </c>
      <c r="G28" s="71">
        <f t="shared" si="0"/>
        <v>4.17</v>
      </c>
      <c r="H28" s="68">
        <v>102</v>
      </c>
      <c r="I28" s="81"/>
      <c r="J28" s="81"/>
      <c r="K28" s="81"/>
      <c r="L28" s="81"/>
      <c r="M28" s="81"/>
      <c r="N28" s="81"/>
      <c r="O28" s="75">
        <v>405398</v>
      </c>
      <c r="P28" s="72">
        <v>3</v>
      </c>
      <c r="Q28" s="72">
        <v>0.21</v>
      </c>
    </row>
    <row r="29" s="4" customFormat="1" ht="19" customHeight="1" spans="1:17">
      <c r="A29" s="67">
        <v>8408</v>
      </c>
      <c r="B29" s="68" t="s">
        <v>60</v>
      </c>
      <c r="C29" s="70" t="s">
        <v>47</v>
      </c>
      <c r="D29" s="68">
        <v>1</v>
      </c>
      <c r="E29" s="70" t="s">
        <v>39</v>
      </c>
      <c r="F29" s="71">
        <v>0.99</v>
      </c>
      <c r="G29" s="71">
        <f t="shared" si="0"/>
        <v>0.99</v>
      </c>
      <c r="H29" s="68">
        <v>102</v>
      </c>
      <c r="I29" s="81"/>
      <c r="J29" s="81"/>
      <c r="K29" s="81"/>
      <c r="L29" s="81"/>
      <c r="M29" s="81"/>
      <c r="N29" s="81"/>
      <c r="O29" s="75">
        <v>405398</v>
      </c>
      <c r="P29" s="72">
        <v>1</v>
      </c>
      <c r="Q29" s="72">
        <v>0.115</v>
      </c>
    </row>
    <row r="30" s="4" customFormat="1" ht="19" customHeight="1" spans="1:17">
      <c r="A30" s="67">
        <v>8450</v>
      </c>
      <c r="B30" s="68" t="s">
        <v>61</v>
      </c>
      <c r="C30" s="70" t="s">
        <v>47</v>
      </c>
      <c r="D30" s="68">
        <v>1</v>
      </c>
      <c r="E30" s="70" t="s">
        <v>39</v>
      </c>
      <c r="F30" s="71">
        <v>0.86</v>
      </c>
      <c r="G30" s="71">
        <f t="shared" si="0"/>
        <v>0.86</v>
      </c>
      <c r="H30" s="68">
        <v>102</v>
      </c>
      <c r="I30" s="81"/>
      <c r="J30" s="81"/>
      <c r="K30" s="81"/>
      <c r="L30" s="81"/>
      <c r="M30" s="81"/>
      <c r="N30" s="81"/>
      <c r="O30" s="75">
        <v>405398</v>
      </c>
      <c r="P30" s="72">
        <v>1</v>
      </c>
      <c r="Q30" s="72">
        <v>0.05</v>
      </c>
    </row>
    <row r="31" s="4" customFormat="1" ht="19" customHeight="1" spans="1:17">
      <c r="A31" s="67">
        <v>7034</v>
      </c>
      <c r="B31" s="68" t="s">
        <v>58</v>
      </c>
      <c r="C31" s="70" t="s">
        <v>47</v>
      </c>
      <c r="D31" s="68">
        <v>10</v>
      </c>
      <c r="E31" s="70" t="s">
        <v>39</v>
      </c>
      <c r="F31" s="71">
        <v>0.8</v>
      </c>
      <c r="G31" s="71">
        <f t="shared" si="0"/>
        <v>8</v>
      </c>
      <c r="H31" s="68" t="s">
        <v>48</v>
      </c>
      <c r="I31" s="81"/>
      <c r="J31" s="81"/>
      <c r="K31" s="81"/>
      <c r="L31" s="81"/>
      <c r="M31" s="81"/>
      <c r="N31" s="81"/>
      <c r="O31" s="75">
        <v>405398</v>
      </c>
      <c r="P31" s="72">
        <v>5</v>
      </c>
      <c r="Q31" s="72">
        <v>0.6</v>
      </c>
    </row>
    <row r="32" s="4" customFormat="1" ht="19" customHeight="1" spans="1:17">
      <c r="A32" s="67">
        <v>7223</v>
      </c>
      <c r="B32" s="68" t="s">
        <v>46</v>
      </c>
      <c r="C32" s="70" t="s">
        <v>47</v>
      </c>
      <c r="D32" s="68">
        <v>1</v>
      </c>
      <c r="E32" s="70" t="s">
        <v>39</v>
      </c>
      <c r="F32" s="71">
        <v>0.91</v>
      </c>
      <c r="G32" s="71">
        <f t="shared" si="0"/>
        <v>0.91</v>
      </c>
      <c r="H32" s="68">
        <v>102</v>
      </c>
      <c r="I32" s="79"/>
      <c r="J32" s="79"/>
      <c r="K32" s="79"/>
      <c r="L32" s="79"/>
      <c r="M32" s="79"/>
      <c r="N32" s="79"/>
      <c r="O32" s="75">
        <v>405398</v>
      </c>
      <c r="P32" s="72">
        <v>1</v>
      </c>
      <c r="Q32" s="72">
        <v>0.115</v>
      </c>
    </row>
    <row r="33" s="4" customFormat="1" ht="19" customHeight="1" spans="1:17">
      <c r="A33" s="67" t="s">
        <v>62</v>
      </c>
      <c r="B33" s="68" t="s">
        <v>63</v>
      </c>
      <c r="C33" s="70" t="s">
        <v>47</v>
      </c>
      <c r="D33" s="68">
        <v>14</v>
      </c>
      <c r="E33" s="70" t="s">
        <v>39</v>
      </c>
      <c r="F33" s="71">
        <v>1.39</v>
      </c>
      <c r="G33" s="71">
        <f t="shared" si="0"/>
        <v>19.46</v>
      </c>
      <c r="H33" s="68" t="s">
        <v>48</v>
      </c>
      <c r="I33" s="80">
        <v>106</v>
      </c>
      <c r="J33" s="80">
        <v>1</v>
      </c>
      <c r="K33" s="80">
        <v>6.37</v>
      </c>
      <c r="L33" s="80">
        <v>7.37</v>
      </c>
      <c r="M33" s="80">
        <f>L33*J33</f>
        <v>7.37</v>
      </c>
      <c r="N33" s="80" t="s">
        <v>49</v>
      </c>
      <c r="O33" s="75">
        <v>405398</v>
      </c>
      <c r="P33" s="72">
        <v>7</v>
      </c>
      <c r="Q33" s="72">
        <v>0.98</v>
      </c>
    </row>
    <row r="34" s="4" customFormat="1" ht="19" customHeight="1" spans="1:17">
      <c r="A34" s="67">
        <v>8408</v>
      </c>
      <c r="B34" s="68" t="s">
        <v>60</v>
      </c>
      <c r="C34" s="70" t="s">
        <v>47</v>
      </c>
      <c r="D34" s="68">
        <v>10</v>
      </c>
      <c r="E34" s="70" t="s">
        <v>39</v>
      </c>
      <c r="F34" s="71">
        <v>0.99</v>
      </c>
      <c r="G34" s="71">
        <f t="shared" si="0"/>
        <v>9.9</v>
      </c>
      <c r="H34" s="68" t="s">
        <v>48</v>
      </c>
      <c r="I34" s="81"/>
      <c r="J34" s="81"/>
      <c r="K34" s="81"/>
      <c r="L34" s="81"/>
      <c r="M34" s="81"/>
      <c r="N34" s="81"/>
      <c r="O34" s="75">
        <v>405398</v>
      </c>
      <c r="P34" s="72">
        <v>5</v>
      </c>
      <c r="Q34" s="72">
        <v>1.15</v>
      </c>
    </row>
    <row r="35" s="4" customFormat="1" ht="19" customHeight="1" spans="1:17">
      <c r="A35" s="67">
        <v>8446</v>
      </c>
      <c r="B35" s="68" t="s">
        <v>64</v>
      </c>
      <c r="C35" s="70" t="s">
        <v>47</v>
      </c>
      <c r="D35" s="68">
        <v>64</v>
      </c>
      <c r="E35" s="70" t="s">
        <v>39</v>
      </c>
      <c r="F35" s="71">
        <v>0.77</v>
      </c>
      <c r="G35" s="71">
        <f t="shared" si="0"/>
        <v>49.28</v>
      </c>
      <c r="H35" s="68" t="s">
        <v>48</v>
      </c>
      <c r="I35" s="81"/>
      <c r="J35" s="81"/>
      <c r="K35" s="81"/>
      <c r="L35" s="81"/>
      <c r="M35" s="81"/>
      <c r="N35" s="81"/>
      <c r="O35" s="75">
        <v>405398</v>
      </c>
      <c r="P35" s="72">
        <v>32</v>
      </c>
      <c r="Q35" s="72">
        <v>2.24</v>
      </c>
    </row>
    <row r="36" s="4" customFormat="1" ht="19" customHeight="1" spans="1:17">
      <c r="A36" s="67">
        <v>7494</v>
      </c>
      <c r="B36" s="68" t="s">
        <v>65</v>
      </c>
      <c r="C36" s="70" t="s">
        <v>47</v>
      </c>
      <c r="D36" s="68">
        <v>9</v>
      </c>
      <c r="E36" s="70" t="s">
        <v>39</v>
      </c>
      <c r="F36" s="71">
        <v>0.92</v>
      </c>
      <c r="G36" s="71">
        <f t="shared" si="0"/>
        <v>8.28</v>
      </c>
      <c r="H36" s="68" t="s">
        <v>57</v>
      </c>
      <c r="I36" s="81"/>
      <c r="J36" s="81"/>
      <c r="K36" s="81"/>
      <c r="L36" s="81"/>
      <c r="M36" s="81"/>
      <c r="N36" s="81"/>
      <c r="O36" s="75">
        <v>405398</v>
      </c>
      <c r="P36" s="72">
        <v>3</v>
      </c>
      <c r="Q36" s="72">
        <v>1.2</v>
      </c>
    </row>
    <row r="37" s="4" customFormat="1" ht="19" customHeight="1" spans="1:17">
      <c r="A37" s="67">
        <v>8462</v>
      </c>
      <c r="B37" s="68" t="s">
        <v>66</v>
      </c>
      <c r="C37" s="70" t="s">
        <v>47</v>
      </c>
      <c r="D37" s="68">
        <v>9</v>
      </c>
      <c r="E37" s="70" t="s">
        <v>39</v>
      </c>
      <c r="F37" s="71">
        <v>1.05</v>
      </c>
      <c r="G37" s="71">
        <f t="shared" si="0"/>
        <v>9.45</v>
      </c>
      <c r="H37" s="68" t="s">
        <v>57</v>
      </c>
      <c r="I37" s="79"/>
      <c r="J37" s="79"/>
      <c r="K37" s="79"/>
      <c r="L37" s="79"/>
      <c r="M37" s="79"/>
      <c r="N37" s="79"/>
      <c r="O37" s="75">
        <v>405398</v>
      </c>
      <c r="P37" s="72">
        <v>3</v>
      </c>
      <c r="Q37" s="72">
        <v>0.8</v>
      </c>
    </row>
    <row r="38" s="4" customFormat="1" ht="19" customHeight="1" spans="1:17">
      <c r="A38" s="67">
        <v>8463</v>
      </c>
      <c r="B38" s="68" t="s">
        <v>51</v>
      </c>
      <c r="C38" s="70" t="s">
        <v>47</v>
      </c>
      <c r="D38" s="68">
        <v>196</v>
      </c>
      <c r="E38" s="70" t="s">
        <v>39</v>
      </c>
      <c r="F38" s="71">
        <v>0.78</v>
      </c>
      <c r="G38" s="71">
        <f t="shared" si="0"/>
        <v>152.88</v>
      </c>
      <c r="H38" s="68" t="s">
        <v>52</v>
      </c>
      <c r="I38" s="80">
        <v>197</v>
      </c>
      <c r="J38" s="80">
        <v>1</v>
      </c>
      <c r="K38" s="80">
        <v>12.11</v>
      </c>
      <c r="L38" s="80">
        <v>13.11</v>
      </c>
      <c r="M38" s="80">
        <f>L38*J38</f>
        <v>13.11</v>
      </c>
      <c r="N38" s="80" t="s">
        <v>49</v>
      </c>
      <c r="O38" s="75">
        <v>405398</v>
      </c>
      <c r="P38" s="72">
        <v>49</v>
      </c>
      <c r="Q38" s="3">
        <v>11.76</v>
      </c>
    </row>
    <row r="39" s="4" customFormat="1" ht="19" customHeight="1" spans="1:17">
      <c r="A39" s="67">
        <v>8446</v>
      </c>
      <c r="B39" s="68" t="s">
        <v>64</v>
      </c>
      <c r="C39" s="70" t="s">
        <v>47</v>
      </c>
      <c r="D39" s="68">
        <v>1</v>
      </c>
      <c r="E39" s="70" t="s">
        <v>39</v>
      </c>
      <c r="F39" s="71">
        <v>0.77</v>
      </c>
      <c r="G39" s="71">
        <f t="shared" si="0"/>
        <v>0.77</v>
      </c>
      <c r="H39" s="68">
        <v>102</v>
      </c>
      <c r="I39" s="79"/>
      <c r="J39" s="79"/>
      <c r="K39" s="79"/>
      <c r="L39" s="79"/>
      <c r="M39" s="79"/>
      <c r="N39" s="79"/>
      <c r="O39" s="75">
        <v>405398</v>
      </c>
      <c r="P39" s="72">
        <v>1</v>
      </c>
      <c r="Q39" s="72">
        <v>0.35</v>
      </c>
    </row>
    <row r="40" s="3" customFormat="1" ht="19" customHeight="1" spans="1:17">
      <c r="A40" s="67" t="s">
        <v>67</v>
      </c>
      <c r="B40" s="68" t="s">
        <v>51</v>
      </c>
      <c r="C40" s="69" t="s">
        <v>47</v>
      </c>
      <c r="D40" s="68">
        <v>98</v>
      </c>
      <c r="E40" s="69" t="s">
        <v>39</v>
      </c>
      <c r="F40" s="76">
        <v>0.78</v>
      </c>
      <c r="G40" s="77">
        <f t="shared" si="0"/>
        <v>76.44</v>
      </c>
      <c r="H40" s="78" t="s">
        <v>48</v>
      </c>
      <c r="I40" s="81">
        <v>99</v>
      </c>
      <c r="J40" s="81">
        <v>1</v>
      </c>
      <c r="K40" s="81">
        <v>5.94</v>
      </c>
      <c r="L40" s="81">
        <v>6.94</v>
      </c>
      <c r="M40" s="80">
        <f>L40*J40</f>
        <v>6.94</v>
      </c>
      <c r="N40" s="81" t="s">
        <v>49</v>
      </c>
      <c r="O40" s="23">
        <v>420867</v>
      </c>
      <c r="P40" s="72">
        <v>49</v>
      </c>
      <c r="Q40" s="47">
        <v>5.88</v>
      </c>
    </row>
    <row r="41" s="3" customFormat="1" ht="19" customHeight="1" spans="1:17">
      <c r="A41" s="67" t="s">
        <v>68</v>
      </c>
      <c r="B41" s="68" t="s">
        <v>58</v>
      </c>
      <c r="C41" s="69" t="s">
        <v>47</v>
      </c>
      <c r="D41" s="68">
        <v>1</v>
      </c>
      <c r="E41" s="69" t="s">
        <v>39</v>
      </c>
      <c r="F41" s="76">
        <v>0.8</v>
      </c>
      <c r="G41" s="77">
        <f t="shared" si="0"/>
        <v>0.8</v>
      </c>
      <c r="H41" s="78">
        <v>102</v>
      </c>
      <c r="I41" s="79"/>
      <c r="J41" s="79"/>
      <c r="K41" s="79"/>
      <c r="L41" s="79"/>
      <c r="M41" s="79"/>
      <c r="N41" s="79"/>
      <c r="O41" s="23">
        <v>420867</v>
      </c>
      <c r="P41" s="72">
        <v>1</v>
      </c>
      <c r="Q41" s="47">
        <v>0.06</v>
      </c>
    </row>
    <row r="42" s="3" customFormat="1" ht="19" customHeight="1" spans="1:17">
      <c r="A42" s="67" t="s">
        <v>69</v>
      </c>
      <c r="B42" s="68" t="s">
        <v>50</v>
      </c>
      <c r="C42" s="69" t="s">
        <v>47</v>
      </c>
      <c r="D42" s="68">
        <v>3</v>
      </c>
      <c r="E42" s="69" t="s">
        <v>39</v>
      </c>
      <c r="F42" s="76">
        <v>1.01</v>
      </c>
      <c r="G42" s="77">
        <f t="shared" si="0"/>
        <v>3.03</v>
      </c>
      <c r="H42" s="78">
        <v>102</v>
      </c>
      <c r="I42" s="81">
        <v>70</v>
      </c>
      <c r="J42" s="81">
        <v>1</v>
      </c>
      <c r="K42" s="81">
        <v>7.26</v>
      </c>
      <c r="L42" s="81">
        <v>8.26</v>
      </c>
      <c r="M42" s="80">
        <f>L42*J42</f>
        <v>8.26</v>
      </c>
      <c r="N42" s="81" t="s">
        <v>49</v>
      </c>
      <c r="O42" s="23">
        <v>420867</v>
      </c>
      <c r="P42" s="72">
        <v>3</v>
      </c>
      <c r="Q42" s="47">
        <v>0.36</v>
      </c>
    </row>
    <row r="43" s="3" customFormat="1" ht="19" customHeight="1" spans="1:17">
      <c r="A43" s="67" t="s">
        <v>68</v>
      </c>
      <c r="B43" s="68" t="s">
        <v>58</v>
      </c>
      <c r="C43" s="69" t="s">
        <v>47</v>
      </c>
      <c r="D43" s="68">
        <v>12</v>
      </c>
      <c r="E43" s="69" t="s">
        <v>39</v>
      </c>
      <c r="F43" s="76">
        <v>0.8</v>
      </c>
      <c r="G43" s="77">
        <f t="shared" si="0"/>
        <v>9.6</v>
      </c>
      <c r="H43" s="78" t="s">
        <v>57</v>
      </c>
      <c r="I43" s="81"/>
      <c r="J43" s="81"/>
      <c r="K43" s="81"/>
      <c r="L43" s="81"/>
      <c r="M43" s="81"/>
      <c r="N43" s="81"/>
      <c r="O43" s="23">
        <v>420867</v>
      </c>
      <c r="P43" s="72">
        <v>4</v>
      </c>
      <c r="Q43" s="47">
        <v>0.72</v>
      </c>
    </row>
    <row r="44" s="3" customFormat="1" ht="19" customHeight="1" spans="1:17">
      <c r="A44" s="67">
        <v>7223</v>
      </c>
      <c r="B44" s="68" t="s">
        <v>46</v>
      </c>
      <c r="C44" s="69" t="s">
        <v>47</v>
      </c>
      <c r="D44" s="68">
        <v>26</v>
      </c>
      <c r="E44" s="69" t="s">
        <v>39</v>
      </c>
      <c r="F44" s="76">
        <v>0.91</v>
      </c>
      <c r="G44" s="77">
        <f t="shared" si="0"/>
        <v>23.66</v>
      </c>
      <c r="H44" s="78" t="s">
        <v>48</v>
      </c>
      <c r="I44" s="81"/>
      <c r="J44" s="81"/>
      <c r="K44" s="81"/>
      <c r="L44" s="81"/>
      <c r="M44" s="81"/>
      <c r="N44" s="81"/>
      <c r="O44" s="23">
        <v>420867</v>
      </c>
      <c r="P44" s="72">
        <v>13</v>
      </c>
      <c r="Q44" s="47">
        <v>2.99</v>
      </c>
    </row>
    <row r="45" s="3" customFormat="1" ht="19" customHeight="1" spans="1:17">
      <c r="A45" s="67">
        <v>8423</v>
      </c>
      <c r="B45" s="68" t="s">
        <v>55</v>
      </c>
      <c r="C45" s="69" t="s">
        <v>47</v>
      </c>
      <c r="D45" s="68">
        <v>3</v>
      </c>
      <c r="E45" s="69" t="s">
        <v>39</v>
      </c>
      <c r="F45" s="76">
        <v>0.73</v>
      </c>
      <c r="G45" s="77">
        <f t="shared" si="0"/>
        <v>2.19</v>
      </c>
      <c r="H45" s="78" t="s">
        <v>57</v>
      </c>
      <c r="I45" s="81"/>
      <c r="J45" s="81"/>
      <c r="K45" s="81"/>
      <c r="L45" s="81"/>
      <c r="M45" s="81"/>
      <c r="N45" s="81"/>
      <c r="O45" s="23">
        <v>420867</v>
      </c>
      <c r="P45" s="72">
        <v>1</v>
      </c>
      <c r="Q45" s="47">
        <v>0.2</v>
      </c>
    </row>
    <row r="46" s="4" customFormat="1" ht="19" customHeight="1" spans="1:17">
      <c r="A46" s="67">
        <v>7223</v>
      </c>
      <c r="B46" s="68" t="s">
        <v>46</v>
      </c>
      <c r="C46" s="70" t="s">
        <v>47</v>
      </c>
      <c r="D46" s="68">
        <v>26</v>
      </c>
      <c r="E46" s="70" t="s">
        <v>39</v>
      </c>
      <c r="F46" s="71">
        <v>0.91</v>
      </c>
      <c r="G46" s="71">
        <f t="shared" si="0"/>
        <v>23.66</v>
      </c>
      <c r="H46" s="68" t="s">
        <v>48</v>
      </c>
      <c r="I46" s="79"/>
      <c r="J46" s="79"/>
      <c r="K46" s="79"/>
      <c r="L46" s="79"/>
      <c r="M46" s="79"/>
      <c r="N46" s="79"/>
      <c r="O46" s="75">
        <v>405398</v>
      </c>
      <c r="P46" s="72">
        <v>13</v>
      </c>
      <c r="Q46" s="72">
        <v>2.99</v>
      </c>
    </row>
    <row r="47" s="3" customFormat="1" ht="19" customHeight="1" spans="1:17">
      <c r="A47" s="67">
        <v>8423</v>
      </c>
      <c r="B47" s="68" t="s">
        <v>55</v>
      </c>
      <c r="C47" s="69" t="s">
        <v>47</v>
      </c>
      <c r="D47" s="68">
        <v>120</v>
      </c>
      <c r="E47" s="69" t="s">
        <v>39</v>
      </c>
      <c r="F47" s="76">
        <v>0.73</v>
      </c>
      <c r="G47" s="77">
        <f t="shared" si="0"/>
        <v>87.6</v>
      </c>
      <c r="H47" s="78" t="s">
        <v>52</v>
      </c>
      <c r="I47" s="81">
        <v>146</v>
      </c>
      <c r="J47" s="81">
        <v>1</v>
      </c>
      <c r="K47" s="81">
        <v>8.65</v>
      </c>
      <c r="L47" s="81">
        <v>9.65</v>
      </c>
      <c r="M47" s="80">
        <f>L47*J47</f>
        <v>9.65</v>
      </c>
      <c r="N47" s="81" t="s">
        <v>49</v>
      </c>
      <c r="O47" s="23">
        <v>420867</v>
      </c>
      <c r="P47" s="72">
        <v>30</v>
      </c>
      <c r="Q47" s="47">
        <v>7.74</v>
      </c>
    </row>
    <row r="48" s="3" customFormat="1" ht="19" customHeight="1" spans="1:17">
      <c r="A48" s="67">
        <v>8446</v>
      </c>
      <c r="B48" s="68" t="s">
        <v>64</v>
      </c>
      <c r="C48" s="69" t="s">
        <v>47</v>
      </c>
      <c r="D48" s="68">
        <v>26</v>
      </c>
      <c r="E48" s="69" t="s">
        <v>39</v>
      </c>
      <c r="F48" s="76">
        <v>0.77</v>
      </c>
      <c r="G48" s="77">
        <f t="shared" si="0"/>
        <v>20.02</v>
      </c>
      <c r="H48" s="78" t="s">
        <v>48</v>
      </c>
      <c r="I48" s="79"/>
      <c r="J48" s="79"/>
      <c r="K48" s="79"/>
      <c r="L48" s="79"/>
      <c r="M48" s="79"/>
      <c r="N48" s="79"/>
      <c r="O48" s="23">
        <v>420867</v>
      </c>
      <c r="P48" s="72">
        <v>13</v>
      </c>
      <c r="Q48" s="47">
        <v>0.91</v>
      </c>
    </row>
    <row r="49" s="4" customFormat="1" ht="19" customHeight="1" spans="1:17">
      <c r="A49" s="67"/>
      <c r="B49" s="68"/>
      <c r="C49" s="70"/>
      <c r="D49" s="68"/>
      <c r="E49" s="70"/>
      <c r="F49" s="71"/>
      <c r="G49" s="71"/>
      <c r="H49" s="68"/>
      <c r="I49" s="68"/>
      <c r="J49" s="68"/>
      <c r="K49" s="68"/>
      <c r="L49" s="68"/>
      <c r="M49" s="68"/>
      <c r="N49" s="68"/>
      <c r="O49" s="75"/>
      <c r="P49" s="72"/>
      <c r="Q49" s="72"/>
    </row>
    <row r="50" s="4" customFormat="1" ht="19" customHeight="1" spans="1:17">
      <c r="A50" s="67">
        <v>8515</v>
      </c>
      <c r="B50" s="68" t="s">
        <v>70</v>
      </c>
      <c r="C50" s="70" t="s">
        <v>47</v>
      </c>
      <c r="D50" s="68">
        <v>50</v>
      </c>
      <c r="E50" s="70" t="s">
        <v>39</v>
      </c>
      <c r="F50" s="71">
        <v>1.45</v>
      </c>
      <c r="G50" s="71">
        <f t="shared" ref="G50:G56" si="3">F50*D50</f>
        <v>72.5</v>
      </c>
      <c r="H50" s="68" t="s">
        <v>71</v>
      </c>
      <c r="I50" s="68">
        <v>50</v>
      </c>
      <c r="J50" s="68">
        <f>D50/I50</f>
        <v>1</v>
      </c>
      <c r="K50" s="68">
        <v>5.25</v>
      </c>
      <c r="L50" s="68">
        <v>6.25</v>
      </c>
      <c r="M50" s="68">
        <f>L50*J50</f>
        <v>6.25</v>
      </c>
      <c r="N50" s="68" t="s">
        <v>72</v>
      </c>
      <c r="O50" s="75">
        <v>405398</v>
      </c>
      <c r="P50" s="72"/>
      <c r="Q50" s="72"/>
    </row>
    <row r="51" s="4" customFormat="1" ht="19" customHeight="1" spans="1:17">
      <c r="A51" s="67">
        <v>8515</v>
      </c>
      <c r="B51" s="68" t="s">
        <v>70</v>
      </c>
      <c r="C51" s="70" t="s">
        <v>47</v>
      </c>
      <c r="D51" s="68">
        <v>1</v>
      </c>
      <c r="E51" s="70" t="s">
        <v>39</v>
      </c>
      <c r="F51" s="71">
        <v>1.45</v>
      </c>
      <c r="G51" s="71">
        <f t="shared" si="3"/>
        <v>1.45</v>
      </c>
      <c r="H51" s="68">
        <v>105</v>
      </c>
      <c r="I51" s="80">
        <v>71</v>
      </c>
      <c r="J51" s="80">
        <v>1</v>
      </c>
      <c r="K51" s="80">
        <v>4.9</v>
      </c>
      <c r="L51" s="80">
        <v>5.9</v>
      </c>
      <c r="M51" s="80">
        <f>L51*J51</f>
        <v>5.9</v>
      </c>
      <c r="N51" s="80" t="s">
        <v>72</v>
      </c>
      <c r="O51" s="75">
        <v>405398</v>
      </c>
      <c r="P51" s="72">
        <v>1</v>
      </c>
      <c r="Q51" s="72">
        <v>0.105</v>
      </c>
    </row>
    <row r="52" s="4" customFormat="1" ht="19" customHeight="1" spans="1:17">
      <c r="A52" s="67">
        <v>8764</v>
      </c>
      <c r="B52" s="68" t="s">
        <v>73</v>
      </c>
      <c r="C52" s="70" t="s">
        <v>47</v>
      </c>
      <c r="D52" s="68">
        <v>2</v>
      </c>
      <c r="E52" s="70" t="s">
        <v>39</v>
      </c>
      <c r="F52" s="71">
        <v>1.45</v>
      </c>
      <c r="G52" s="71">
        <f t="shared" si="3"/>
        <v>2.9</v>
      </c>
      <c r="H52" s="68" t="s">
        <v>71</v>
      </c>
      <c r="I52" s="81"/>
      <c r="J52" s="81"/>
      <c r="K52" s="81"/>
      <c r="L52" s="81"/>
      <c r="M52" s="81"/>
      <c r="N52" s="81"/>
      <c r="O52" s="75">
        <v>405398</v>
      </c>
      <c r="P52" s="72">
        <v>1</v>
      </c>
      <c r="Q52" s="72">
        <v>0.3</v>
      </c>
    </row>
    <row r="53" s="3" customFormat="1" ht="19" customHeight="1" spans="1:17">
      <c r="A53" s="67">
        <v>8423</v>
      </c>
      <c r="B53" s="68" t="s">
        <v>55</v>
      </c>
      <c r="C53" s="70" t="s">
        <v>47</v>
      </c>
      <c r="D53" s="68">
        <v>68</v>
      </c>
      <c r="E53" s="70" t="s">
        <v>39</v>
      </c>
      <c r="F53" s="71">
        <v>0.73</v>
      </c>
      <c r="G53" s="71">
        <f t="shared" si="3"/>
        <v>49.64</v>
      </c>
      <c r="H53" s="68" t="s">
        <v>52</v>
      </c>
      <c r="I53" s="79"/>
      <c r="J53" s="79"/>
      <c r="K53" s="79"/>
      <c r="L53" s="79"/>
      <c r="M53" s="79"/>
      <c r="N53" s="79"/>
      <c r="O53" s="75">
        <v>405398</v>
      </c>
      <c r="P53" s="72">
        <v>17</v>
      </c>
      <c r="Q53" s="72">
        <v>4.4</v>
      </c>
    </row>
    <row r="54" s="3" customFormat="1" ht="19" customHeight="1" spans="1:17">
      <c r="A54" s="67">
        <v>8515</v>
      </c>
      <c r="B54" s="68" t="s">
        <v>70</v>
      </c>
      <c r="C54" s="69" t="s">
        <v>47</v>
      </c>
      <c r="D54" s="68">
        <v>26</v>
      </c>
      <c r="E54" s="69" t="s">
        <v>39</v>
      </c>
      <c r="F54" s="76">
        <v>1.4</v>
      </c>
      <c r="G54" s="77">
        <f t="shared" si="3"/>
        <v>36.4</v>
      </c>
      <c r="H54" s="78" t="s">
        <v>71</v>
      </c>
      <c r="I54" s="81">
        <v>33</v>
      </c>
      <c r="J54" s="81">
        <v>1</v>
      </c>
      <c r="K54" s="81">
        <v>3.6</v>
      </c>
      <c r="L54" s="81">
        <v>4.6</v>
      </c>
      <c r="M54" s="80">
        <f>L54*J54</f>
        <v>4.6</v>
      </c>
      <c r="N54" s="81" t="s">
        <v>72</v>
      </c>
      <c r="O54" s="23">
        <v>420867</v>
      </c>
      <c r="P54" s="72">
        <v>13</v>
      </c>
      <c r="Q54" s="47">
        <v>2.73</v>
      </c>
    </row>
    <row r="55" s="3" customFormat="1" ht="19" customHeight="1" spans="1:17">
      <c r="A55" s="67">
        <v>8515</v>
      </c>
      <c r="B55" s="68" t="s">
        <v>70</v>
      </c>
      <c r="C55" s="69" t="s">
        <v>47</v>
      </c>
      <c r="D55" s="68">
        <v>1</v>
      </c>
      <c r="E55" s="69" t="s">
        <v>39</v>
      </c>
      <c r="F55" s="76">
        <v>1.4</v>
      </c>
      <c r="G55" s="77">
        <f t="shared" si="3"/>
        <v>1.4</v>
      </c>
      <c r="H55" s="78">
        <v>105</v>
      </c>
      <c r="I55" s="81"/>
      <c r="J55" s="81"/>
      <c r="K55" s="81"/>
      <c r="L55" s="81"/>
      <c r="M55" s="81"/>
      <c r="N55" s="81"/>
      <c r="O55" s="23">
        <v>420867</v>
      </c>
      <c r="P55" s="72">
        <v>1</v>
      </c>
      <c r="Q55" s="47">
        <v>0.105</v>
      </c>
    </row>
    <row r="56" s="4" customFormat="1" ht="19" customHeight="1" spans="1:17">
      <c r="A56" s="67">
        <v>8072</v>
      </c>
      <c r="B56" s="68" t="s">
        <v>74</v>
      </c>
      <c r="C56" s="70" t="s">
        <v>47</v>
      </c>
      <c r="D56" s="68">
        <v>6</v>
      </c>
      <c r="E56" s="70" t="s">
        <v>39</v>
      </c>
      <c r="F56" s="71">
        <v>1.57</v>
      </c>
      <c r="G56" s="71">
        <f t="shared" si="3"/>
        <v>9.42</v>
      </c>
      <c r="H56" s="68" t="s">
        <v>75</v>
      </c>
      <c r="I56" s="81"/>
      <c r="J56" s="81"/>
      <c r="K56" s="81"/>
      <c r="L56" s="81"/>
      <c r="M56" s="81"/>
      <c r="N56" s="81"/>
      <c r="O56" s="75">
        <v>405398</v>
      </c>
      <c r="P56" s="72">
        <v>3</v>
      </c>
      <c r="Q56" s="72">
        <v>0.72</v>
      </c>
    </row>
    <row r="57" s="4" customFormat="1" ht="19" customHeight="1" spans="1:17">
      <c r="A57" s="67"/>
      <c r="B57" s="68"/>
      <c r="C57" s="70"/>
      <c r="D57" s="68"/>
      <c r="E57" s="70"/>
      <c r="F57" s="71"/>
      <c r="G57" s="71"/>
      <c r="H57" s="68"/>
      <c r="I57" s="68"/>
      <c r="J57" s="68"/>
      <c r="K57" s="68"/>
      <c r="L57" s="68"/>
      <c r="M57" s="68"/>
      <c r="N57" s="68"/>
      <c r="O57" s="75"/>
      <c r="P57" s="72"/>
      <c r="Q57" s="72"/>
    </row>
    <row r="58" s="4" customFormat="1" ht="19" customHeight="1" spans="1:17">
      <c r="A58" s="67">
        <v>8421</v>
      </c>
      <c r="B58" s="68" t="s">
        <v>76</v>
      </c>
      <c r="C58" s="70" t="s">
        <v>47</v>
      </c>
      <c r="D58" s="68">
        <v>150</v>
      </c>
      <c r="E58" s="70" t="s">
        <v>39</v>
      </c>
      <c r="F58" s="71">
        <v>0.9</v>
      </c>
      <c r="G58" s="71">
        <f>F58*D58</f>
        <v>135</v>
      </c>
      <c r="H58" s="68" t="s">
        <v>77</v>
      </c>
      <c r="I58" s="68">
        <v>50</v>
      </c>
      <c r="J58" s="68">
        <f>D58/I58</f>
        <v>3</v>
      </c>
      <c r="K58" s="68">
        <v>3.75</v>
      </c>
      <c r="L58" s="68">
        <v>4.75</v>
      </c>
      <c r="M58" s="68">
        <f>L58*J58</f>
        <v>14.25</v>
      </c>
      <c r="N58" s="68" t="s">
        <v>78</v>
      </c>
      <c r="O58" s="75">
        <v>405398</v>
      </c>
      <c r="P58" s="72"/>
      <c r="Q58" s="72"/>
    </row>
    <row r="59" s="4" customFormat="1" ht="19" customHeight="1" spans="1:17">
      <c r="A59" s="67">
        <v>8421</v>
      </c>
      <c r="B59" s="68" t="s">
        <v>76</v>
      </c>
      <c r="C59" s="70" t="s">
        <v>47</v>
      </c>
      <c r="D59" s="68">
        <v>12</v>
      </c>
      <c r="E59" s="70" t="s">
        <v>39</v>
      </c>
      <c r="F59" s="71">
        <v>0.9</v>
      </c>
      <c r="G59" s="71">
        <f>F59*D59</f>
        <v>10.8</v>
      </c>
      <c r="H59" s="68" t="s">
        <v>77</v>
      </c>
      <c r="I59" s="80">
        <v>13</v>
      </c>
      <c r="J59" s="80">
        <v>1</v>
      </c>
      <c r="K59" s="80">
        <v>0.975</v>
      </c>
      <c r="L59" s="80">
        <v>1.975</v>
      </c>
      <c r="M59" s="80">
        <f>L59*J59</f>
        <v>1.975</v>
      </c>
      <c r="N59" s="80" t="s">
        <v>79</v>
      </c>
      <c r="O59" s="75">
        <v>405398</v>
      </c>
      <c r="P59" s="72">
        <v>6</v>
      </c>
      <c r="Q59" s="72">
        <v>0.9</v>
      </c>
    </row>
    <row r="60" s="4" customFormat="1" ht="19" customHeight="1" spans="1:17">
      <c r="A60" s="67">
        <v>8421</v>
      </c>
      <c r="B60" s="68" t="s">
        <v>76</v>
      </c>
      <c r="C60" s="70" t="s">
        <v>47</v>
      </c>
      <c r="D60" s="68">
        <v>1</v>
      </c>
      <c r="E60" s="70" t="s">
        <v>39</v>
      </c>
      <c r="F60" s="71">
        <v>0.9</v>
      </c>
      <c r="G60" s="71">
        <f>F60*D60</f>
        <v>0.9</v>
      </c>
      <c r="H60" s="68">
        <v>111</v>
      </c>
      <c r="I60" s="79"/>
      <c r="J60" s="79"/>
      <c r="K60" s="79"/>
      <c r="L60" s="79"/>
      <c r="M60" s="79"/>
      <c r="N60" s="79"/>
      <c r="O60" s="75">
        <v>405398</v>
      </c>
      <c r="P60" s="72">
        <v>1</v>
      </c>
      <c r="Q60" s="72">
        <v>0.075</v>
      </c>
    </row>
    <row r="61" s="4" customFormat="1" ht="19" customHeight="1" spans="1:17">
      <c r="A61" s="73"/>
      <c r="B61" s="68"/>
      <c r="C61" s="70"/>
      <c r="D61" s="68"/>
      <c r="E61" s="70"/>
      <c r="F61" s="74"/>
      <c r="G61" s="74"/>
      <c r="H61" s="68"/>
      <c r="I61" s="68"/>
      <c r="J61" s="68"/>
      <c r="K61" s="68"/>
      <c r="L61" s="68"/>
      <c r="M61" s="68"/>
      <c r="N61" s="68"/>
      <c r="O61" s="75"/>
      <c r="P61" s="47"/>
      <c r="Q61" s="82"/>
    </row>
    <row r="62" customFormat="1" ht="19" customHeight="1" spans="1:17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</row>
    <row r="63" s="3" customFormat="1" ht="19" customHeight="1" spans="1:17">
      <c r="A63" s="84">
        <v>18075</v>
      </c>
      <c r="B63" s="79" t="s">
        <v>80</v>
      </c>
      <c r="C63" s="85" t="s">
        <v>81</v>
      </c>
      <c r="D63" s="79">
        <v>50</v>
      </c>
      <c r="E63" s="85" t="s">
        <v>39</v>
      </c>
      <c r="F63" s="86">
        <v>2.55</v>
      </c>
      <c r="G63" s="87">
        <f t="shared" ref="G63:G105" si="4">F63*D63</f>
        <v>127.5</v>
      </c>
      <c r="H63" s="78">
        <v>102</v>
      </c>
      <c r="I63" s="79">
        <v>50</v>
      </c>
      <c r="J63" s="79">
        <f>D63/I63</f>
        <v>1</v>
      </c>
      <c r="K63" s="79">
        <v>14</v>
      </c>
      <c r="L63" s="79">
        <v>15.3</v>
      </c>
      <c r="M63" s="79">
        <f>L63*J63</f>
        <v>15.3</v>
      </c>
      <c r="N63" s="79" t="s">
        <v>49</v>
      </c>
      <c r="O63" s="75">
        <v>405398</v>
      </c>
      <c r="P63" s="47"/>
      <c r="Q63" s="47"/>
    </row>
    <row r="64" s="3" customFormat="1" ht="19" customHeight="1" spans="1:17">
      <c r="A64" s="67">
        <v>18178</v>
      </c>
      <c r="B64" s="68" t="s">
        <v>82</v>
      </c>
      <c r="C64" s="70" t="s">
        <v>81</v>
      </c>
      <c r="D64" s="68">
        <v>150</v>
      </c>
      <c r="E64" s="70" t="s">
        <v>39</v>
      </c>
      <c r="F64" s="71">
        <v>1.97</v>
      </c>
      <c r="G64" s="71">
        <f t="shared" si="4"/>
        <v>295.5</v>
      </c>
      <c r="H64" s="68">
        <v>102</v>
      </c>
      <c r="I64" s="68">
        <v>50</v>
      </c>
      <c r="J64" s="68">
        <f>D64/I64</f>
        <v>3</v>
      </c>
      <c r="K64" s="68">
        <v>10.5</v>
      </c>
      <c r="L64" s="68">
        <v>11.8</v>
      </c>
      <c r="M64" s="68">
        <f>L64*J64</f>
        <v>35.4</v>
      </c>
      <c r="N64" s="68" t="s">
        <v>49</v>
      </c>
      <c r="O64" s="75">
        <v>405398</v>
      </c>
      <c r="P64" s="47"/>
      <c r="Q64" s="47"/>
    </row>
    <row r="65" s="3" customFormat="1" ht="19" customHeight="1" spans="1:17">
      <c r="A65" s="67">
        <v>18205</v>
      </c>
      <c r="B65" s="68" t="s">
        <v>83</v>
      </c>
      <c r="C65" s="70" t="s">
        <v>81</v>
      </c>
      <c r="D65" s="68">
        <v>150</v>
      </c>
      <c r="E65" s="70" t="s">
        <v>39</v>
      </c>
      <c r="F65" s="71">
        <v>2.48</v>
      </c>
      <c r="G65" s="71">
        <f t="shared" si="4"/>
        <v>372</v>
      </c>
      <c r="H65" s="68">
        <v>102</v>
      </c>
      <c r="I65" s="68">
        <v>50</v>
      </c>
      <c r="J65" s="68">
        <f>D65/I65</f>
        <v>3</v>
      </c>
      <c r="K65" s="68">
        <v>13.75</v>
      </c>
      <c r="L65" s="68">
        <v>15.05</v>
      </c>
      <c r="M65" s="68">
        <f>L65*J65</f>
        <v>45.15</v>
      </c>
      <c r="N65" s="68" t="s">
        <v>49</v>
      </c>
      <c r="O65" s="75">
        <v>405398</v>
      </c>
      <c r="P65" s="47"/>
      <c r="Q65" s="47"/>
    </row>
    <row r="66" s="3" customFormat="1" ht="19" customHeight="1" spans="1:17">
      <c r="A66" s="67">
        <v>18213</v>
      </c>
      <c r="B66" s="68" t="s">
        <v>84</v>
      </c>
      <c r="C66" s="70" t="s">
        <v>81</v>
      </c>
      <c r="D66" s="68">
        <v>100</v>
      </c>
      <c r="E66" s="70" t="s">
        <v>39</v>
      </c>
      <c r="F66" s="71">
        <v>2.48</v>
      </c>
      <c r="G66" s="71">
        <f t="shared" si="4"/>
        <v>248</v>
      </c>
      <c r="H66" s="68">
        <v>102</v>
      </c>
      <c r="I66" s="68">
        <v>50</v>
      </c>
      <c r="J66" s="68">
        <f>D66/I66</f>
        <v>2</v>
      </c>
      <c r="K66" s="68">
        <v>12.75</v>
      </c>
      <c r="L66" s="68">
        <v>14.05</v>
      </c>
      <c r="M66" s="68">
        <f>L66*J66</f>
        <v>28.1</v>
      </c>
      <c r="N66" s="68" t="s">
        <v>49</v>
      </c>
      <c r="O66" s="75">
        <v>405398</v>
      </c>
      <c r="P66" s="47"/>
      <c r="Q66" s="47"/>
    </row>
    <row r="67" s="3" customFormat="1" ht="19" customHeight="1" spans="1:17">
      <c r="A67" s="67">
        <v>18217</v>
      </c>
      <c r="B67" s="68" t="s">
        <v>85</v>
      </c>
      <c r="C67" s="70" t="s">
        <v>81</v>
      </c>
      <c r="D67" s="68">
        <v>1000</v>
      </c>
      <c r="E67" s="70" t="s">
        <v>39</v>
      </c>
      <c r="F67" s="76">
        <v>2</v>
      </c>
      <c r="G67" s="88">
        <f t="shared" si="4"/>
        <v>2000</v>
      </c>
      <c r="H67" s="68">
        <v>102</v>
      </c>
      <c r="I67" s="68">
        <v>50</v>
      </c>
      <c r="J67" s="68">
        <f>D67/I67</f>
        <v>20</v>
      </c>
      <c r="K67" s="68">
        <v>12.5</v>
      </c>
      <c r="L67" s="68">
        <v>13.8</v>
      </c>
      <c r="M67" s="68">
        <f>L67*J67</f>
        <v>276</v>
      </c>
      <c r="N67" s="68" t="s">
        <v>49</v>
      </c>
      <c r="O67" s="23">
        <v>420867</v>
      </c>
      <c r="P67" s="47"/>
      <c r="Q67" s="47"/>
    </row>
    <row r="68" s="3" customFormat="1" ht="19" customHeight="1" spans="1:17">
      <c r="A68" s="67">
        <v>18217</v>
      </c>
      <c r="B68" s="68" t="s">
        <v>85</v>
      </c>
      <c r="C68" s="70" t="s">
        <v>81</v>
      </c>
      <c r="D68" s="68">
        <v>40</v>
      </c>
      <c r="E68" s="70" t="s">
        <v>39</v>
      </c>
      <c r="F68" s="71">
        <v>2</v>
      </c>
      <c r="G68" s="71">
        <f t="shared" si="4"/>
        <v>80</v>
      </c>
      <c r="H68" s="68">
        <v>102</v>
      </c>
      <c r="I68" s="68">
        <v>40</v>
      </c>
      <c r="J68" s="68">
        <f t="shared" ref="J64:J76" si="5">D68/I68</f>
        <v>1</v>
      </c>
      <c r="K68" s="68">
        <v>10</v>
      </c>
      <c r="L68" s="68">
        <v>11</v>
      </c>
      <c r="M68" s="68">
        <f t="shared" ref="M64:M76" si="6">L68*J68</f>
        <v>11</v>
      </c>
      <c r="N68" s="68" t="s">
        <v>49</v>
      </c>
      <c r="O68" s="75">
        <v>405398</v>
      </c>
      <c r="P68" s="47"/>
      <c r="Q68" s="47"/>
    </row>
    <row r="69" s="3" customFormat="1" ht="19" customHeight="1" spans="1:17">
      <c r="A69" s="67">
        <v>18217</v>
      </c>
      <c r="B69" s="68" t="s">
        <v>85</v>
      </c>
      <c r="C69" s="70" t="s">
        <v>81</v>
      </c>
      <c r="D69" s="68">
        <v>700</v>
      </c>
      <c r="E69" s="70" t="s">
        <v>39</v>
      </c>
      <c r="F69" s="71">
        <v>2</v>
      </c>
      <c r="G69" s="71">
        <f t="shared" si="4"/>
        <v>1400</v>
      </c>
      <c r="H69" s="68">
        <v>102</v>
      </c>
      <c r="I69" s="68">
        <v>50</v>
      </c>
      <c r="J69" s="68">
        <f t="shared" si="5"/>
        <v>14</v>
      </c>
      <c r="K69" s="68">
        <v>12.5</v>
      </c>
      <c r="L69" s="68">
        <v>13.8</v>
      </c>
      <c r="M69" s="68">
        <f t="shared" si="6"/>
        <v>193.2</v>
      </c>
      <c r="N69" s="68" t="s">
        <v>49</v>
      </c>
      <c r="O69" s="75">
        <v>405398</v>
      </c>
      <c r="P69" s="47"/>
      <c r="Q69" s="47"/>
    </row>
    <row r="70" s="3" customFormat="1" ht="19" customHeight="1" spans="1:17">
      <c r="A70" s="67">
        <v>18219</v>
      </c>
      <c r="B70" s="68" t="s">
        <v>86</v>
      </c>
      <c r="C70" s="70" t="s">
        <v>81</v>
      </c>
      <c r="D70" s="68">
        <v>250</v>
      </c>
      <c r="E70" s="70" t="s">
        <v>39</v>
      </c>
      <c r="F70" s="71">
        <v>2</v>
      </c>
      <c r="G70" s="71">
        <f t="shared" si="4"/>
        <v>500</v>
      </c>
      <c r="H70" s="68">
        <v>102</v>
      </c>
      <c r="I70" s="68">
        <v>50</v>
      </c>
      <c r="J70" s="68">
        <f t="shared" si="5"/>
        <v>5</v>
      </c>
      <c r="K70" s="68">
        <v>13.5</v>
      </c>
      <c r="L70" s="68">
        <v>14.8</v>
      </c>
      <c r="M70" s="68">
        <f t="shared" si="6"/>
        <v>74</v>
      </c>
      <c r="N70" s="68" t="s">
        <v>49</v>
      </c>
      <c r="O70" s="75">
        <v>405398</v>
      </c>
      <c r="P70" s="47"/>
      <c r="Q70" s="47"/>
    </row>
    <row r="71" s="3" customFormat="1" ht="19" customHeight="1" spans="1:17">
      <c r="A71" s="89">
        <v>18221</v>
      </c>
      <c r="B71" s="90" t="s">
        <v>87</v>
      </c>
      <c r="C71" s="70" t="s">
        <v>81</v>
      </c>
      <c r="D71" s="90">
        <v>100</v>
      </c>
      <c r="E71" s="70" t="s">
        <v>39</v>
      </c>
      <c r="F71" s="71">
        <v>2.3</v>
      </c>
      <c r="G71" s="71">
        <f t="shared" si="4"/>
        <v>230</v>
      </c>
      <c r="H71" s="90">
        <v>102</v>
      </c>
      <c r="I71" s="90">
        <v>50</v>
      </c>
      <c r="J71" s="68">
        <f t="shared" si="5"/>
        <v>2</v>
      </c>
      <c r="K71" s="90">
        <v>13.5</v>
      </c>
      <c r="L71" s="90">
        <v>14.8</v>
      </c>
      <c r="M71" s="68">
        <f t="shared" si="6"/>
        <v>29.6</v>
      </c>
      <c r="N71" s="90" t="s">
        <v>49</v>
      </c>
      <c r="O71" s="75">
        <v>405398</v>
      </c>
      <c r="P71" s="47"/>
      <c r="Q71" s="47"/>
    </row>
    <row r="72" s="3" customFormat="1" ht="19" customHeight="1" spans="1:17">
      <c r="A72" s="67">
        <v>18223</v>
      </c>
      <c r="B72" s="68" t="s">
        <v>88</v>
      </c>
      <c r="C72" s="70" t="s">
        <v>81</v>
      </c>
      <c r="D72" s="68">
        <v>150</v>
      </c>
      <c r="E72" s="70" t="s">
        <v>39</v>
      </c>
      <c r="F72" s="71">
        <v>1.8</v>
      </c>
      <c r="G72" s="71">
        <f t="shared" si="4"/>
        <v>270</v>
      </c>
      <c r="H72" s="68">
        <v>102</v>
      </c>
      <c r="I72" s="68">
        <v>50</v>
      </c>
      <c r="J72" s="68">
        <f t="shared" si="5"/>
        <v>3</v>
      </c>
      <c r="K72" s="68">
        <v>9</v>
      </c>
      <c r="L72" s="68">
        <v>10.3</v>
      </c>
      <c r="M72" s="68">
        <f t="shared" si="6"/>
        <v>30.9</v>
      </c>
      <c r="N72" s="68" t="s">
        <v>49</v>
      </c>
      <c r="O72" s="75">
        <v>405398</v>
      </c>
      <c r="P72" s="47"/>
      <c r="Q72" s="47"/>
    </row>
    <row r="73" s="3" customFormat="1" ht="19" customHeight="1" spans="1:17">
      <c r="A73" s="91">
        <v>18305</v>
      </c>
      <c r="B73" s="80" t="s">
        <v>89</v>
      </c>
      <c r="C73" s="70" t="s">
        <v>81</v>
      </c>
      <c r="D73" s="80">
        <v>450</v>
      </c>
      <c r="E73" s="92" t="s">
        <v>39</v>
      </c>
      <c r="F73" s="93">
        <v>2.1</v>
      </c>
      <c r="G73" s="71">
        <f t="shared" si="4"/>
        <v>945</v>
      </c>
      <c r="H73" s="68">
        <v>102</v>
      </c>
      <c r="I73" s="68">
        <v>50</v>
      </c>
      <c r="J73" s="68">
        <f t="shared" si="5"/>
        <v>9</v>
      </c>
      <c r="K73" s="68">
        <v>11.25</v>
      </c>
      <c r="L73" s="68">
        <v>12.55</v>
      </c>
      <c r="M73" s="68">
        <f t="shared" si="6"/>
        <v>112.95</v>
      </c>
      <c r="N73" s="68" t="s">
        <v>49</v>
      </c>
      <c r="O73" s="75">
        <v>405398</v>
      </c>
      <c r="P73" s="47"/>
      <c r="Q73" s="47"/>
    </row>
    <row r="74" customFormat="1" ht="19" customHeight="1" spans="1:17">
      <c r="A74" s="73">
        <v>18375</v>
      </c>
      <c r="B74" s="68" t="s">
        <v>90</v>
      </c>
      <c r="C74" s="70" t="s">
        <v>81</v>
      </c>
      <c r="D74" s="68">
        <v>50</v>
      </c>
      <c r="E74" s="92" t="s">
        <v>39</v>
      </c>
      <c r="F74" s="74">
        <v>2.54</v>
      </c>
      <c r="G74" s="71">
        <f t="shared" si="4"/>
        <v>127</v>
      </c>
      <c r="H74" s="68">
        <v>102</v>
      </c>
      <c r="I74" s="68">
        <v>50</v>
      </c>
      <c r="J74" s="68">
        <f t="shared" si="5"/>
        <v>1</v>
      </c>
      <c r="K74" s="68">
        <v>12.09</v>
      </c>
      <c r="L74" s="68">
        <v>13.39</v>
      </c>
      <c r="M74" s="68">
        <f t="shared" si="6"/>
        <v>13.39</v>
      </c>
      <c r="N74" s="68" t="s">
        <v>49</v>
      </c>
      <c r="O74" s="75">
        <v>405398</v>
      </c>
      <c r="P74" s="47"/>
      <c r="Q74" s="94"/>
    </row>
    <row r="75" s="4" customFormat="1" ht="19" customHeight="1" spans="1:17">
      <c r="A75" s="84">
        <v>18379</v>
      </c>
      <c r="B75" s="79" t="s">
        <v>91</v>
      </c>
      <c r="C75" s="70" t="s">
        <v>81</v>
      </c>
      <c r="D75" s="79">
        <v>200</v>
      </c>
      <c r="E75" s="92" t="s">
        <v>39</v>
      </c>
      <c r="F75" s="74">
        <v>2.38</v>
      </c>
      <c r="G75" s="71">
        <f t="shared" si="4"/>
        <v>476</v>
      </c>
      <c r="H75" s="68">
        <v>102</v>
      </c>
      <c r="I75" s="68">
        <v>50</v>
      </c>
      <c r="J75" s="68">
        <f t="shared" si="5"/>
        <v>4</v>
      </c>
      <c r="K75" s="68">
        <v>14</v>
      </c>
      <c r="L75" s="68">
        <v>15.3</v>
      </c>
      <c r="M75" s="68">
        <f t="shared" si="6"/>
        <v>61.2</v>
      </c>
      <c r="N75" s="68" t="s">
        <v>49</v>
      </c>
      <c r="O75" s="75">
        <v>405398</v>
      </c>
      <c r="P75" s="47"/>
      <c r="Q75" s="82"/>
    </row>
    <row r="76" s="4" customFormat="1" ht="19" customHeight="1" spans="1:17">
      <c r="A76" s="67">
        <v>18432</v>
      </c>
      <c r="B76" s="68" t="s">
        <v>92</v>
      </c>
      <c r="C76" s="70" t="s">
        <v>81</v>
      </c>
      <c r="D76" s="68">
        <v>300</v>
      </c>
      <c r="E76" s="92" t="s">
        <v>39</v>
      </c>
      <c r="F76" s="71">
        <v>1.85</v>
      </c>
      <c r="G76" s="71">
        <f t="shared" si="4"/>
        <v>555</v>
      </c>
      <c r="H76" s="68">
        <v>102</v>
      </c>
      <c r="I76" s="68">
        <v>50</v>
      </c>
      <c r="J76" s="68">
        <f t="shared" si="5"/>
        <v>6</v>
      </c>
      <c r="K76" s="68">
        <v>10.25</v>
      </c>
      <c r="L76" s="68">
        <v>11.55</v>
      </c>
      <c r="M76" s="68">
        <f t="shared" si="6"/>
        <v>69.3</v>
      </c>
      <c r="N76" s="68" t="s">
        <v>49</v>
      </c>
      <c r="O76" s="75">
        <v>405398</v>
      </c>
      <c r="P76" s="47"/>
      <c r="Q76" s="82"/>
    </row>
    <row r="77" s="3" customFormat="1" ht="19" customHeight="1" spans="1:17">
      <c r="A77" s="67">
        <v>18205</v>
      </c>
      <c r="B77" s="68" t="s">
        <v>83</v>
      </c>
      <c r="C77" s="70" t="s">
        <v>81</v>
      </c>
      <c r="D77" s="68">
        <v>49</v>
      </c>
      <c r="E77" s="70" t="s">
        <v>39</v>
      </c>
      <c r="F77" s="71">
        <v>2.48</v>
      </c>
      <c r="G77" s="71">
        <f t="shared" si="4"/>
        <v>121.52</v>
      </c>
      <c r="H77" s="80">
        <v>102</v>
      </c>
      <c r="I77" s="80">
        <v>50</v>
      </c>
      <c r="J77" s="80">
        <v>1</v>
      </c>
      <c r="K77" s="80">
        <v>13.6</v>
      </c>
      <c r="L77" s="80">
        <v>14.6</v>
      </c>
      <c r="M77" s="80">
        <f t="shared" ref="M77:M81" si="7">L77*J77</f>
        <v>14.6</v>
      </c>
      <c r="N77" s="80" t="s">
        <v>49</v>
      </c>
      <c r="O77" s="75">
        <v>405398</v>
      </c>
      <c r="P77" s="47">
        <v>13.475</v>
      </c>
      <c r="Q77" s="47"/>
    </row>
    <row r="78" s="4" customFormat="1" ht="19" customHeight="1" spans="1:17">
      <c r="A78" s="67">
        <v>18178</v>
      </c>
      <c r="B78" s="68" t="s">
        <v>82</v>
      </c>
      <c r="C78" s="70" t="s">
        <v>81</v>
      </c>
      <c r="D78" s="68">
        <v>1</v>
      </c>
      <c r="E78" s="70" t="s">
        <v>39</v>
      </c>
      <c r="F78" s="71">
        <v>1.97</v>
      </c>
      <c r="G78" s="71">
        <f t="shared" si="4"/>
        <v>1.97</v>
      </c>
      <c r="H78" s="79"/>
      <c r="I78" s="79"/>
      <c r="J78" s="79"/>
      <c r="K78" s="79"/>
      <c r="L78" s="79"/>
      <c r="M78" s="79"/>
      <c r="N78" s="79"/>
      <c r="O78" s="75">
        <v>405398</v>
      </c>
      <c r="P78" s="47">
        <v>0.21</v>
      </c>
      <c r="Q78" s="82"/>
    </row>
    <row r="79" s="3" customFormat="1" ht="19" customHeight="1" spans="1:17">
      <c r="A79" s="67">
        <v>18213</v>
      </c>
      <c r="B79" s="68" t="s">
        <v>84</v>
      </c>
      <c r="C79" s="70" t="s">
        <v>81</v>
      </c>
      <c r="D79" s="68">
        <v>38</v>
      </c>
      <c r="E79" s="70" t="s">
        <v>39</v>
      </c>
      <c r="F79" s="71">
        <v>2.48</v>
      </c>
      <c r="G79" s="71">
        <f t="shared" si="4"/>
        <v>94.24</v>
      </c>
      <c r="H79" s="80">
        <v>102</v>
      </c>
      <c r="I79" s="80">
        <v>50</v>
      </c>
      <c r="J79" s="80">
        <v>1</v>
      </c>
      <c r="K79" s="80">
        <v>12.15</v>
      </c>
      <c r="L79" s="80">
        <v>13.15</v>
      </c>
      <c r="M79" s="80">
        <f t="shared" si="7"/>
        <v>13.15</v>
      </c>
      <c r="N79" s="80" t="s">
        <v>49</v>
      </c>
      <c r="O79" s="75">
        <v>405398</v>
      </c>
      <c r="P79" s="47">
        <v>9.69</v>
      </c>
      <c r="Q79" s="47"/>
    </row>
    <row r="80" s="3" customFormat="1" ht="19" customHeight="1" spans="1:17">
      <c r="A80" s="67">
        <v>18432</v>
      </c>
      <c r="B80" s="68" t="s">
        <v>92</v>
      </c>
      <c r="C80" s="70" t="s">
        <v>81</v>
      </c>
      <c r="D80" s="68">
        <v>12</v>
      </c>
      <c r="E80" s="70" t="s">
        <v>39</v>
      </c>
      <c r="F80" s="71">
        <v>1.85</v>
      </c>
      <c r="G80" s="71">
        <f t="shared" si="4"/>
        <v>22.2</v>
      </c>
      <c r="H80" s="79"/>
      <c r="I80" s="79"/>
      <c r="J80" s="79"/>
      <c r="K80" s="79"/>
      <c r="L80" s="79"/>
      <c r="M80" s="79"/>
      <c r="N80" s="79"/>
      <c r="O80" s="75">
        <v>405398</v>
      </c>
      <c r="P80" s="47">
        <v>2.46</v>
      </c>
      <c r="Q80" s="47"/>
    </row>
    <row r="81" s="3" customFormat="1" ht="19" customHeight="1" spans="1:17">
      <c r="A81" s="67">
        <v>18223</v>
      </c>
      <c r="B81" s="68" t="s">
        <v>88</v>
      </c>
      <c r="C81" s="70" t="s">
        <v>81</v>
      </c>
      <c r="D81" s="68">
        <v>35</v>
      </c>
      <c r="E81" s="70" t="s">
        <v>39</v>
      </c>
      <c r="F81" s="71">
        <v>1.8</v>
      </c>
      <c r="G81" s="71">
        <f t="shared" si="4"/>
        <v>63</v>
      </c>
      <c r="H81" s="80">
        <v>102</v>
      </c>
      <c r="I81" s="80">
        <v>50</v>
      </c>
      <c r="J81" s="80">
        <v>1</v>
      </c>
      <c r="K81" s="80">
        <v>11.64</v>
      </c>
      <c r="L81" s="80">
        <v>12.64</v>
      </c>
      <c r="M81" s="80">
        <f t="shared" si="7"/>
        <v>12.64</v>
      </c>
      <c r="N81" s="80" t="s">
        <v>49</v>
      </c>
      <c r="O81" s="75">
        <v>405398</v>
      </c>
      <c r="P81" s="47">
        <v>6.3</v>
      </c>
      <c r="Q81" s="47"/>
    </row>
    <row r="82" s="3" customFormat="1" ht="19" customHeight="1" spans="1:17">
      <c r="A82" s="67">
        <v>18775</v>
      </c>
      <c r="B82" s="68" t="s">
        <v>93</v>
      </c>
      <c r="C82" s="70" t="s">
        <v>81</v>
      </c>
      <c r="D82" s="68">
        <v>15</v>
      </c>
      <c r="E82" s="70" t="s">
        <v>39</v>
      </c>
      <c r="F82" s="71">
        <v>3.39</v>
      </c>
      <c r="G82" s="71">
        <f t="shared" si="4"/>
        <v>50.85</v>
      </c>
      <c r="H82" s="79"/>
      <c r="I82" s="79"/>
      <c r="J82" s="79"/>
      <c r="K82" s="79"/>
      <c r="L82" s="79"/>
      <c r="M82" s="79"/>
      <c r="N82" s="79"/>
      <c r="O82" s="75">
        <v>405398</v>
      </c>
      <c r="P82" s="47">
        <v>5.34</v>
      </c>
      <c r="Q82" s="47"/>
    </row>
    <row r="83" s="3" customFormat="1" ht="19" customHeight="1" spans="1:17">
      <c r="A83" s="67">
        <v>18466</v>
      </c>
      <c r="B83" s="68" t="s">
        <v>94</v>
      </c>
      <c r="C83" s="70" t="s">
        <v>81</v>
      </c>
      <c r="D83" s="68">
        <v>30</v>
      </c>
      <c r="E83" s="70" t="s">
        <v>39</v>
      </c>
      <c r="F83" s="71">
        <v>3.6</v>
      </c>
      <c r="G83" s="71">
        <f t="shared" si="4"/>
        <v>108</v>
      </c>
      <c r="H83" s="80">
        <v>102</v>
      </c>
      <c r="I83" s="80">
        <v>50</v>
      </c>
      <c r="J83" s="80">
        <v>1</v>
      </c>
      <c r="K83" s="80">
        <v>15</v>
      </c>
      <c r="L83" s="80">
        <v>16</v>
      </c>
      <c r="M83" s="80">
        <f>L83*J83</f>
        <v>16</v>
      </c>
      <c r="N83" s="80" t="s">
        <v>49</v>
      </c>
      <c r="O83" s="75">
        <v>405398</v>
      </c>
      <c r="P83" s="47">
        <v>9.9</v>
      </c>
      <c r="Q83" s="47"/>
    </row>
    <row r="84" s="3" customFormat="1" ht="19" customHeight="1" spans="1:17">
      <c r="A84" s="67">
        <v>18260</v>
      </c>
      <c r="B84" s="68" t="s">
        <v>95</v>
      </c>
      <c r="C84" s="70" t="s">
        <v>81</v>
      </c>
      <c r="D84" s="68">
        <v>20</v>
      </c>
      <c r="E84" s="70" t="s">
        <v>39</v>
      </c>
      <c r="F84" s="71">
        <v>2.65</v>
      </c>
      <c r="G84" s="71">
        <f t="shared" si="4"/>
        <v>53</v>
      </c>
      <c r="H84" s="79"/>
      <c r="I84" s="79"/>
      <c r="J84" s="79"/>
      <c r="K84" s="79"/>
      <c r="L84" s="79"/>
      <c r="M84" s="79"/>
      <c r="N84" s="79"/>
      <c r="O84" s="75">
        <v>405398</v>
      </c>
      <c r="P84" s="47">
        <v>5.1</v>
      </c>
      <c r="Q84" s="47"/>
    </row>
    <row r="85" s="3" customFormat="1" ht="19" customHeight="1" spans="1:17">
      <c r="A85" s="67">
        <v>18108</v>
      </c>
      <c r="B85" s="68" t="s">
        <v>96</v>
      </c>
      <c r="C85" s="70" t="s">
        <v>81</v>
      </c>
      <c r="D85" s="68">
        <v>13</v>
      </c>
      <c r="E85" s="70" t="s">
        <v>39</v>
      </c>
      <c r="F85" s="71">
        <v>2.38</v>
      </c>
      <c r="G85" s="71">
        <f t="shared" si="4"/>
        <v>30.94</v>
      </c>
      <c r="H85" s="80">
        <v>102</v>
      </c>
      <c r="I85" s="80">
        <v>50</v>
      </c>
      <c r="J85" s="80">
        <v>1</v>
      </c>
      <c r="K85" s="80">
        <v>12.98</v>
      </c>
      <c r="L85" s="80">
        <v>13.98</v>
      </c>
      <c r="M85" s="80">
        <f>L85*J85</f>
        <v>13.98</v>
      </c>
      <c r="N85" s="80" t="s">
        <v>49</v>
      </c>
      <c r="O85" s="75">
        <v>405398</v>
      </c>
      <c r="P85" s="47">
        <v>3.575</v>
      </c>
      <c r="Q85" s="47"/>
    </row>
    <row r="86" s="3" customFormat="1" ht="19" customHeight="1" spans="1:17">
      <c r="A86" s="67">
        <v>18305</v>
      </c>
      <c r="B86" s="68" t="s">
        <v>89</v>
      </c>
      <c r="C86" s="70" t="s">
        <v>81</v>
      </c>
      <c r="D86" s="68">
        <v>13</v>
      </c>
      <c r="E86" s="70" t="s">
        <v>39</v>
      </c>
      <c r="F86" s="71">
        <v>2.1</v>
      </c>
      <c r="G86" s="71">
        <f t="shared" si="4"/>
        <v>27.3</v>
      </c>
      <c r="H86" s="81"/>
      <c r="I86" s="81"/>
      <c r="J86" s="81"/>
      <c r="K86" s="81"/>
      <c r="L86" s="81"/>
      <c r="M86" s="81"/>
      <c r="N86" s="81"/>
      <c r="O86" s="75">
        <v>405398</v>
      </c>
      <c r="P86" s="47">
        <v>2.925</v>
      </c>
      <c r="Q86" s="47"/>
    </row>
    <row r="87" s="3" customFormat="1" ht="19" customHeight="1" spans="1:17">
      <c r="A87" s="67">
        <v>18805</v>
      </c>
      <c r="B87" s="68" t="s">
        <v>97</v>
      </c>
      <c r="C87" s="70" t="s">
        <v>81</v>
      </c>
      <c r="D87" s="68">
        <v>17</v>
      </c>
      <c r="E87" s="70" t="s">
        <v>39</v>
      </c>
      <c r="F87" s="71">
        <v>2.7</v>
      </c>
      <c r="G87" s="71">
        <f t="shared" si="4"/>
        <v>45.9</v>
      </c>
      <c r="H87" s="81"/>
      <c r="I87" s="81"/>
      <c r="J87" s="81"/>
      <c r="K87" s="81"/>
      <c r="L87" s="81"/>
      <c r="M87" s="81"/>
      <c r="N87" s="81"/>
      <c r="O87" s="75">
        <v>405398</v>
      </c>
      <c r="P87" s="47">
        <v>4.59</v>
      </c>
      <c r="Q87" s="47"/>
    </row>
    <row r="88" s="3" customFormat="1" ht="19" customHeight="1" spans="1:17">
      <c r="A88" s="67">
        <v>18219</v>
      </c>
      <c r="B88" s="68" t="s">
        <v>86</v>
      </c>
      <c r="C88" s="70" t="s">
        <v>81</v>
      </c>
      <c r="D88" s="68">
        <v>7</v>
      </c>
      <c r="E88" s="70" t="s">
        <v>39</v>
      </c>
      <c r="F88" s="71">
        <v>2</v>
      </c>
      <c r="G88" s="71">
        <f t="shared" si="4"/>
        <v>14</v>
      </c>
      <c r="H88" s="79"/>
      <c r="I88" s="79"/>
      <c r="J88" s="79"/>
      <c r="K88" s="79"/>
      <c r="L88" s="79"/>
      <c r="M88" s="79"/>
      <c r="N88" s="79"/>
      <c r="O88" s="75">
        <v>405398</v>
      </c>
      <c r="P88" s="47">
        <v>1.89</v>
      </c>
      <c r="Q88" s="47"/>
    </row>
    <row r="89" s="4" customFormat="1" ht="19" customHeight="1" spans="1:17">
      <c r="A89" s="67">
        <v>18205</v>
      </c>
      <c r="B89" s="68" t="s">
        <v>98</v>
      </c>
      <c r="C89" s="70" t="s">
        <v>81</v>
      </c>
      <c r="D89" s="68">
        <v>4</v>
      </c>
      <c r="E89" s="70" t="s">
        <v>39</v>
      </c>
      <c r="F89" s="71">
        <v>2.48</v>
      </c>
      <c r="G89" s="71">
        <f t="shared" si="4"/>
        <v>9.92</v>
      </c>
      <c r="H89" s="80">
        <v>102</v>
      </c>
      <c r="I89" s="80">
        <v>42</v>
      </c>
      <c r="J89" s="80">
        <v>1</v>
      </c>
      <c r="K89" s="80">
        <v>11.74</v>
      </c>
      <c r="L89" s="80">
        <v>12.74</v>
      </c>
      <c r="M89" s="80">
        <f>L89*J89</f>
        <v>12.74</v>
      </c>
      <c r="N89" s="80" t="s">
        <v>49</v>
      </c>
      <c r="O89" s="75">
        <v>405398</v>
      </c>
      <c r="P89" s="47">
        <v>1.1</v>
      </c>
      <c r="Q89" s="47"/>
    </row>
    <row r="90" s="3" customFormat="1" ht="19" customHeight="1" spans="1:17">
      <c r="A90" s="67">
        <v>18379</v>
      </c>
      <c r="B90" s="68" t="s">
        <v>91</v>
      </c>
      <c r="C90" s="70" t="s">
        <v>81</v>
      </c>
      <c r="D90" s="68">
        <v>38</v>
      </c>
      <c r="E90" s="70" t="s">
        <v>39</v>
      </c>
      <c r="F90" s="71">
        <v>2.38</v>
      </c>
      <c r="G90" s="71">
        <f t="shared" si="4"/>
        <v>90.44</v>
      </c>
      <c r="H90" s="79"/>
      <c r="I90" s="79"/>
      <c r="J90" s="79"/>
      <c r="K90" s="79"/>
      <c r="L90" s="79"/>
      <c r="M90" s="79"/>
      <c r="N90" s="79"/>
      <c r="O90" s="75">
        <v>405398</v>
      </c>
      <c r="P90" s="47">
        <v>10.64</v>
      </c>
      <c r="Q90" s="47"/>
    </row>
    <row r="91" s="3" customFormat="1" ht="19" customHeight="1" spans="1:17">
      <c r="A91" s="67">
        <v>18110</v>
      </c>
      <c r="B91" s="68" t="s">
        <v>99</v>
      </c>
      <c r="C91" s="70" t="s">
        <v>81</v>
      </c>
      <c r="D91" s="68">
        <v>36</v>
      </c>
      <c r="E91" s="70" t="s">
        <v>39</v>
      </c>
      <c r="F91" s="71">
        <v>2.2</v>
      </c>
      <c r="G91" s="71">
        <f t="shared" si="4"/>
        <v>79.2</v>
      </c>
      <c r="H91" s="80">
        <v>102</v>
      </c>
      <c r="I91" s="80">
        <v>50</v>
      </c>
      <c r="J91" s="80">
        <v>1</v>
      </c>
      <c r="K91" s="80">
        <v>12.16</v>
      </c>
      <c r="L91" s="80">
        <v>13.16</v>
      </c>
      <c r="M91" s="80">
        <f>L91*J91</f>
        <v>13.16</v>
      </c>
      <c r="N91" s="80" t="s">
        <v>49</v>
      </c>
      <c r="O91" s="75">
        <v>405398</v>
      </c>
      <c r="P91" s="47">
        <v>8.1</v>
      </c>
      <c r="Q91" s="47"/>
    </row>
    <row r="92" s="4" customFormat="1" ht="19" customHeight="1" spans="1:17">
      <c r="A92" s="67">
        <v>19767</v>
      </c>
      <c r="B92" s="73" t="s">
        <v>100</v>
      </c>
      <c r="C92" s="70" t="s">
        <v>81</v>
      </c>
      <c r="D92" s="68">
        <v>2</v>
      </c>
      <c r="E92" s="70" t="s">
        <v>39</v>
      </c>
      <c r="F92" s="71">
        <v>2.36</v>
      </c>
      <c r="G92" s="71">
        <f t="shared" si="4"/>
        <v>4.72</v>
      </c>
      <c r="H92" s="81"/>
      <c r="I92" s="81"/>
      <c r="J92" s="81"/>
      <c r="K92" s="81"/>
      <c r="L92" s="81"/>
      <c r="M92" s="81"/>
      <c r="N92" s="81"/>
      <c r="O92" s="75">
        <v>405398</v>
      </c>
      <c r="P92" s="47">
        <v>0.36</v>
      </c>
      <c r="Q92" s="47"/>
    </row>
    <row r="93" s="4" customFormat="1" ht="19" customHeight="1" spans="1:17">
      <c r="A93" s="67">
        <v>18360</v>
      </c>
      <c r="B93" s="68" t="s">
        <v>101</v>
      </c>
      <c r="C93" s="70" t="s">
        <v>81</v>
      </c>
      <c r="D93" s="68">
        <v>4</v>
      </c>
      <c r="E93" s="70" t="s">
        <v>39</v>
      </c>
      <c r="F93" s="71">
        <v>2.7</v>
      </c>
      <c r="G93" s="71">
        <f t="shared" si="4"/>
        <v>10.8</v>
      </c>
      <c r="H93" s="81"/>
      <c r="I93" s="81"/>
      <c r="J93" s="81"/>
      <c r="K93" s="81"/>
      <c r="L93" s="81"/>
      <c r="M93" s="81"/>
      <c r="N93" s="81"/>
      <c r="O93" s="75">
        <v>405398</v>
      </c>
      <c r="P93" s="47">
        <v>1.54</v>
      </c>
      <c r="Q93" s="47"/>
    </row>
    <row r="94" s="3" customFormat="1" ht="19" customHeight="1" spans="1:17">
      <c r="A94" s="89">
        <v>18221</v>
      </c>
      <c r="B94" s="90" t="s">
        <v>87</v>
      </c>
      <c r="C94" s="70" t="s">
        <v>81</v>
      </c>
      <c r="D94" s="90">
        <v>8</v>
      </c>
      <c r="E94" s="70" t="s">
        <v>39</v>
      </c>
      <c r="F94" s="71">
        <v>2.3</v>
      </c>
      <c r="G94" s="71">
        <f t="shared" si="4"/>
        <v>18.4</v>
      </c>
      <c r="H94" s="79"/>
      <c r="I94" s="79"/>
      <c r="J94" s="79"/>
      <c r="K94" s="79"/>
      <c r="L94" s="79"/>
      <c r="M94" s="79"/>
      <c r="N94" s="79"/>
      <c r="O94" s="75">
        <v>405398</v>
      </c>
      <c r="P94" s="47">
        <v>2.16</v>
      </c>
      <c r="Q94" s="47"/>
    </row>
    <row r="95" s="3" customFormat="1" ht="19" customHeight="1" spans="1:17">
      <c r="A95" s="67">
        <v>18375</v>
      </c>
      <c r="B95" s="68" t="s">
        <v>90</v>
      </c>
      <c r="C95" s="70" t="s">
        <v>81</v>
      </c>
      <c r="D95" s="68">
        <v>9</v>
      </c>
      <c r="E95" s="70" t="s">
        <v>39</v>
      </c>
      <c r="F95" s="71">
        <v>2.54</v>
      </c>
      <c r="G95" s="71">
        <f t="shared" si="4"/>
        <v>22.86</v>
      </c>
      <c r="H95" s="80">
        <v>102</v>
      </c>
      <c r="I95" s="80">
        <v>44</v>
      </c>
      <c r="J95" s="80">
        <v>1</v>
      </c>
      <c r="K95" s="80">
        <v>12.6</v>
      </c>
      <c r="L95" s="80">
        <v>13.6</v>
      </c>
      <c r="M95" s="80">
        <f>L95*J95</f>
        <v>13.6</v>
      </c>
      <c r="N95" s="95" t="s">
        <v>49</v>
      </c>
      <c r="O95" s="75">
        <v>405398</v>
      </c>
      <c r="P95" s="47">
        <v>2.1762</v>
      </c>
      <c r="Q95" s="47"/>
    </row>
    <row r="96" s="3" customFormat="1" ht="19" customHeight="1" spans="1:17">
      <c r="A96" s="67">
        <v>19533</v>
      </c>
      <c r="B96" s="68" t="s">
        <v>102</v>
      </c>
      <c r="C96" s="70" t="s">
        <v>81</v>
      </c>
      <c r="D96" s="68">
        <v>15</v>
      </c>
      <c r="E96" s="70" t="s">
        <v>39</v>
      </c>
      <c r="F96" s="71">
        <v>2.62</v>
      </c>
      <c r="G96" s="71">
        <f t="shared" si="4"/>
        <v>39.3</v>
      </c>
      <c r="H96" s="81"/>
      <c r="I96" s="81"/>
      <c r="J96" s="81"/>
      <c r="K96" s="81"/>
      <c r="L96" s="81"/>
      <c r="M96" s="81"/>
      <c r="N96" s="96"/>
      <c r="O96" s="75">
        <v>405398</v>
      </c>
      <c r="P96" s="47">
        <v>4.59</v>
      </c>
      <c r="Q96" s="47"/>
    </row>
    <row r="97" s="3" customFormat="1" ht="19" customHeight="1" spans="1:17">
      <c r="A97" s="67">
        <v>18075</v>
      </c>
      <c r="B97" s="68" t="s">
        <v>80</v>
      </c>
      <c r="C97" s="70" t="s">
        <v>81</v>
      </c>
      <c r="D97" s="68">
        <v>19</v>
      </c>
      <c r="E97" s="70" t="s">
        <v>39</v>
      </c>
      <c r="F97" s="71">
        <v>2.55</v>
      </c>
      <c r="G97" s="71">
        <f t="shared" si="4"/>
        <v>48.45</v>
      </c>
      <c r="H97" s="79"/>
      <c r="I97" s="81"/>
      <c r="J97" s="81"/>
      <c r="K97" s="81"/>
      <c r="L97" s="81"/>
      <c r="M97" s="81"/>
      <c r="N97" s="96"/>
      <c r="O97" s="75">
        <v>405398</v>
      </c>
      <c r="P97" s="47">
        <v>5.32</v>
      </c>
      <c r="Q97" s="47"/>
    </row>
    <row r="98" s="3" customFormat="1" ht="19" customHeight="1" spans="1:17">
      <c r="A98" s="67">
        <v>18614</v>
      </c>
      <c r="B98" s="68" t="s">
        <v>103</v>
      </c>
      <c r="C98" s="70" t="s">
        <v>81</v>
      </c>
      <c r="D98" s="68">
        <v>1</v>
      </c>
      <c r="E98" s="70" t="s">
        <v>39</v>
      </c>
      <c r="F98" s="71">
        <v>3.5</v>
      </c>
      <c r="G98" s="71">
        <f t="shared" si="4"/>
        <v>3.5</v>
      </c>
      <c r="H98" s="68">
        <v>105</v>
      </c>
      <c r="I98" s="79"/>
      <c r="J98" s="79"/>
      <c r="K98" s="79"/>
      <c r="L98" s="79"/>
      <c r="M98" s="79"/>
      <c r="N98" s="97"/>
      <c r="O98" s="75">
        <v>405398</v>
      </c>
      <c r="P98" s="47">
        <v>0.57</v>
      </c>
      <c r="Q98" s="47"/>
    </row>
    <row r="99" s="3" customFormat="1" ht="19" customHeight="1" spans="1:17">
      <c r="A99" s="67">
        <v>18655</v>
      </c>
      <c r="B99" s="68" t="s">
        <v>104</v>
      </c>
      <c r="C99" s="70" t="s">
        <v>81</v>
      </c>
      <c r="D99" s="68">
        <v>24</v>
      </c>
      <c r="E99" s="70" t="s">
        <v>39</v>
      </c>
      <c r="F99" s="71">
        <v>2.79</v>
      </c>
      <c r="G99" s="71">
        <f t="shared" si="4"/>
        <v>66.96</v>
      </c>
      <c r="H99" s="80">
        <v>102</v>
      </c>
      <c r="I99" s="80">
        <v>49</v>
      </c>
      <c r="J99" s="80">
        <v>1</v>
      </c>
      <c r="K99" s="80">
        <v>14.6</v>
      </c>
      <c r="L99" s="80">
        <v>15.6</v>
      </c>
      <c r="M99" s="80">
        <f>L99*J99</f>
        <v>15.6</v>
      </c>
      <c r="N99" s="80" t="s">
        <v>49</v>
      </c>
      <c r="O99" s="75">
        <v>405398</v>
      </c>
      <c r="P99" s="47">
        <v>8.28</v>
      </c>
      <c r="Q99" s="47"/>
    </row>
    <row r="100" s="3" customFormat="1" ht="19" customHeight="1" spans="1:17">
      <c r="A100" s="67">
        <v>18072</v>
      </c>
      <c r="B100" s="68" t="s">
        <v>105</v>
      </c>
      <c r="C100" s="70" t="s">
        <v>81</v>
      </c>
      <c r="D100" s="68">
        <v>25</v>
      </c>
      <c r="E100" s="70" t="s">
        <v>39</v>
      </c>
      <c r="F100" s="71">
        <v>2.2</v>
      </c>
      <c r="G100" s="71">
        <f t="shared" si="4"/>
        <v>55</v>
      </c>
      <c r="H100" s="79"/>
      <c r="I100" s="79"/>
      <c r="J100" s="79"/>
      <c r="K100" s="79"/>
      <c r="L100" s="79"/>
      <c r="M100" s="79"/>
      <c r="N100" s="79"/>
      <c r="O100" s="75">
        <v>405398</v>
      </c>
      <c r="P100" s="47">
        <v>6.375</v>
      </c>
      <c r="Q100" s="47"/>
    </row>
    <row r="101" s="3" customFormat="1" ht="19" customHeight="1" spans="1:17">
      <c r="A101" s="67">
        <v>18360</v>
      </c>
      <c r="B101" s="68" t="s">
        <v>101</v>
      </c>
      <c r="C101" s="69" t="s">
        <v>81</v>
      </c>
      <c r="D101" s="68">
        <v>10</v>
      </c>
      <c r="E101" s="69" t="s">
        <v>39</v>
      </c>
      <c r="F101" s="76">
        <v>2.7</v>
      </c>
      <c r="G101" s="77">
        <f t="shared" si="4"/>
        <v>27</v>
      </c>
      <c r="H101" s="98">
        <v>102</v>
      </c>
      <c r="I101" s="81">
        <v>49</v>
      </c>
      <c r="J101" s="81">
        <v>1</v>
      </c>
      <c r="K101" s="81">
        <v>11.7</v>
      </c>
      <c r="L101" s="81">
        <v>12.7</v>
      </c>
      <c r="M101" s="81">
        <f>L101*J101</f>
        <v>12.7</v>
      </c>
      <c r="N101" s="81" t="s">
        <v>49</v>
      </c>
      <c r="O101" s="23">
        <v>420867</v>
      </c>
      <c r="P101" s="47">
        <v>3.85</v>
      </c>
      <c r="Q101" s="47"/>
    </row>
    <row r="102" s="3" customFormat="1" ht="19" customHeight="1" spans="1:17">
      <c r="A102" s="67">
        <v>18432</v>
      </c>
      <c r="B102" s="68" t="s">
        <v>92</v>
      </c>
      <c r="C102" s="69" t="s">
        <v>81</v>
      </c>
      <c r="D102" s="68">
        <v>33</v>
      </c>
      <c r="E102" s="69" t="s">
        <v>39</v>
      </c>
      <c r="F102" s="76">
        <v>1.85</v>
      </c>
      <c r="G102" s="77">
        <f t="shared" si="4"/>
        <v>61.05</v>
      </c>
      <c r="H102" s="98"/>
      <c r="I102" s="81"/>
      <c r="J102" s="81"/>
      <c r="K102" s="81"/>
      <c r="L102" s="81"/>
      <c r="M102" s="81"/>
      <c r="N102" s="81"/>
      <c r="O102" s="23">
        <v>420867</v>
      </c>
      <c r="P102" s="47">
        <v>6.77</v>
      </c>
      <c r="Q102" s="47"/>
    </row>
    <row r="103" s="3" customFormat="1" ht="19" customHeight="1" spans="1:17">
      <c r="A103" s="67">
        <v>19767</v>
      </c>
      <c r="B103" s="68" t="s">
        <v>100</v>
      </c>
      <c r="C103" s="69" t="s">
        <v>81</v>
      </c>
      <c r="D103" s="68">
        <v>6</v>
      </c>
      <c r="E103" s="69" t="s">
        <v>39</v>
      </c>
      <c r="F103" s="76">
        <v>2.22</v>
      </c>
      <c r="G103" s="77">
        <f t="shared" si="4"/>
        <v>13.32</v>
      </c>
      <c r="H103" s="78"/>
      <c r="I103" s="79"/>
      <c r="J103" s="79"/>
      <c r="K103" s="79"/>
      <c r="L103" s="79"/>
      <c r="M103" s="79"/>
      <c r="N103" s="79"/>
      <c r="O103" s="23">
        <v>420867</v>
      </c>
      <c r="P103" s="47">
        <v>1.08</v>
      </c>
      <c r="Q103" s="47"/>
    </row>
    <row r="104" s="3" customFormat="1" ht="19" customHeight="1" spans="1:17">
      <c r="A104" s="67">
        <v>19533</v>
      </c>
      <c r="B104" s="68" t="s">
        <v>102</v>
      </c>
      <c r="C104" s="69" t="s">
        <v>81</v>
      </c>
      <c r="D104" s="68">
        <v>3</v>
      </c>
      <c r="E104" s="69" t="s">
        <v>39</v>
      </c>
      <c r="F104" s="76">
        <v>2.5</v>
      </c>
      <c r="G104" s="77">
        <f t="shared" si="4"/>
        <v>7.5</v>
      </c>
      <c r="H104" s="78">
        <v>102</v>
      </c>
      <c r="I104" s="80">
        <v>8</v>
      </c>
      <c r="J104" s="80">
        <v>1</v>
      </c>
      <c r="K104" s="80">
        <v>2.6</v>
      </c>
      <c r="L104" s="80">
        <v>3.6</v>
      </c>
      <c r="M104" s="80">
        <f>L104*J104</f>
        <v>3.6</v>
      </c>
      <c r="N104" s="80" t="s">
        <v>79</v>
      </c>
      <c r="O104" s="23">
        <v>420867</v>
      </c>
      <c r="P104" s="47">
        <v>0.92</v>
      </c>
      <c r="Q104" s="47"/>
    </row>
    <row r="105" s="3" customFormat="1" ht="19" customHeight="1" spans="1:17">
      <c r="A105" s="67">
        <v>18208</v>
      </c>
      <c r="B105" s="68" t="s">
        <v>106</v>
      </c>
      <c r="C105" s="69" t="s">
        <v>81</v>
      </c>
      <c r="D105" s="68">
        <v>5</v>
      </c>
      <c r="E105" s="69" t="s">
        <v>39</v>
      </c>
      <c r="F105" s="76">
        <v>2.35</v>
      </c>
      <c r="G105" s="77">
        <f t="shared" si="4"/>
        <v>11.75</v>
      </c>
      <c r="H105" s="78">
        <v>111</v>
      </c>
      <c r="I105" s="79"/>
      <c r="J105" s="79"/>
      <c r="K105" s="79"/>
      <c r="L105" s="79"/>
      <c r="M105" s="79"/>
      <c r="N105" s="79"/>
      <c r="O105" s="23">
        <v>420867</v>
      </c>
      <c r="P105" s="47">
        <v>1.68</v>
      </c>
      <c r="Q105" s="47"/>
    </row>
    <row r="106" s="4" customFormat="1" ht="19" customHeight="1" spans="1:17">
      <c r="A106" s="67"/>
      <c r="B106" s="73"/>
      <c r="C106" s="70"/>
      <c r="D106" s="68"/>
      <c r="E106" s="92"/>
      <c r="F106" s="71"/>
      <c r="G106" s="71"/>
      <c r="H106" s="68"/>
      <c r="I106" s="68"/>
      <c r="J106" s="68"/>
      <c r="K106" s="68"/>
      <c r="L106" s="68"/>
      <c r="M106" s="68"/>
      <c r="N106" s="68"/>
      <c r="O106" s="75"/>
      <c r="P106" s="47"/>
      <c r="Q106" s="82"/>
    </row>
    <row r="107" s="3" customFormat="1" ht="19" customHeight="1" spans="1:17">
      <c r="A107" s="67">
        <v>18061</v>
      </c>
      <c r="B107" s="68" t="s">
        <v>107</v>
      </c>
      <c r="C107" s="70" t="s">
        <v>81</v>
      </c>
      <c r="D107" s="68">
        <v>15</v>
      </c>
      <c r="E107" s="70" t="s">
        <v>39</v>
      </c>
      <c r="F107" s="71">
        <v>3.22</v>
      </c>
      <c r="G107" s="71">
        <f t="shared" ref="G107:G112" si="8">F107*D107</f>
        <v>48.3</v>
      </c>
      <c r="H107" s="68">
        <v>104</v>
      </c>
      <c r="I107" s="68">
        <v>15</v>
      </c>
      <c r="J107" s="68">
        <f>D107/I107</f>
        <v>1</v>
      </c>
      <c r="K107" s="68">
        <v>7.8</v>
      </c>
      <c r="L107" s="68">
        <v>8.8</v>
      </c>
      <c r="M107" s="68">
        <f>L107*J107</f>
        <v>8.8</v>
      </c>
      <c r="N107" s="68" t="s">
        <v>108</v>
      </c>
      <c r="O107" s="75">
        <v>405398</v>
      </c>
      <c r="P107" s="47"/>
      <c r="Q107" s="47"/>
    </row>
    <row r="108" s="3" customFormat="1" ht="19" customHeight="1" spans="1:17">
      <c r="A108" s="67">
        <v>18588</v>
      </c>
      <c r="B108" s="68" t="s">
        <v>109</v>
      </c>
      <c r="C108" s="70" t="s">
        <v>81</v>
      </c>
      <c r="D108" s="68">
        <v>25</v>
      </c>
      <c r="E108" s="70" t="s">
        <v>39</v>
      </c>
      <c r="F108" s="71">
        <v>3.47</v>
      </c>
      <c r="G108" s="71">
        <f t="shared" si="8"/>
        <v>86.75</v>
      </c>
      <c r="H108" s="68">
        <v>104</v>
      </c>
      <c r="I108" s="68">
        <v>25</v>
      </c>
      <c r="J108" s="68">
        <f>D108/I108</f>
        <v>1</v>
      </c>
      <c r="K108" s="68">
        <v>14.13</v>
      </c>
      <c r="L108" s="68">
        <v>15.23</v>
      </c>
      <c r="M108" s="68">
        <f>L108*J108</f>
        <v>15.23</v>
      </c>
      <c r="N108" s="68" t="s">
        <v>108</v>
      </c>
      <c r="O108" s="75">
        <v>405398</v>
      </c>
      <c r="P108" s="47"/>
      <c r="Q108" s="47"/>
    </row>
    <row r="109" s="3" customFormat="1" ht="19" customHeight="1" spans="1:17">
      <c r="A109" s="67">
        <v>18434</v>
      </c>
      <c r="B109" s="68" t="s">
        <v>110</v>
      </c>
      <c r="C109" s="70" t="s">
        <v>81</v>
      </c>
      <c r="D109" s="68">
        <v>2</v>
      </c>
      <c r="E109" s="92" t="s">
        <v>39</v>
      </c>
      <c r="F109" s="71">
        <v>3.4</v>
      </c>
      <c r="G109" s="71">
        <f t="shared" si="8"/>
        <v>6.8</v>
      </c>
      <c r="H109" s="80">
        <v>104</v>
      </c>
      <c r="I109" s="80">
        <v>24</v>
      </c>
      <c r="J109" s="80">
        <v>1</v>
      </c>
      <c r="K109" s="80">
        <v>13.68</v>
      </c>
      <c r="L109" s="80">
        <v>14.68</v>
      </c>
      <c r="M109" s="80">
        <f>L109*J109</f>
        <v>14.68</v>
      </c>
      <c r="N109" s="80" t="s">
        <v>108</v>
      </c>
      <c r="O109" s="75">
        <v>405398</v>
      </c>
      <c r="P109" s="99">
        <v>1.18</v>
      </c>
      <c r="Q109" s="47"/>
    </row>
    <row r="110" s="3" customFormat="1" ht="19" customHeight="1" spans="1:17">
      <c r="A110" s="67">
        <v>18536</v>
      </c>
      <c r="B110" s="68" t="s">
        <v>111</v>
      </c>
      <c r="C110" s="70" t="s">
        <v>81</v>
      </c>
      <c r="D110" s="68">
        <v>2</v>
      </c>
      <c r="E110" s="92" t="s">
        <v>39</v>
      </c>
      <c r="F110" s="71">
        <v>3.88</v>
      </c>
      <c r="G110" s="71">
        <f t="shared" si="8"/>
        <v>7.76</v>
      </c>
      <c r="H110" s="81"/>
      <c r="I110" s="81"/>
      <c r="J110" s="81"/>
      <c r="K110" s="81"/>
      <c r="L110" s="81"/>
      <c r="M110" s="81"/>
      <c r="N110" s="81"/>
      <c r="O110" s="75">
        <v>405398</v>
      </c>
      <c r="P110" s="99">
        <v>1.19</v>
      </c>
      <c r="Q110" s="47"/>
    </row>
    <row r="111" s="3" customFormat="1" ht="19" customHeight="1" spans="1:17">
      <c r="A111" s="67">
        <v>18588</v>
      </c>
      <c r="B111" s="68" t="s">
        <v>112</v>
      </c>
      <c r="C111" s="70" t="s">
        <v>81</v>
      </c>
      <c r="D111" s="68">
        <v>9</v>
      </c>
      <c r="E111" s="70" t="s">
        <v>39</v>
      </c>
      <c r="F111" s="71">
        <v>3.47</v>
      </c>
      <c r="G111" s="71">
        <f t="shared" si="8"/>
        <v>31.23</v>
      </c>
      <c r="H111" s="81"/>
      <c r="I111" s="81"/>
      <c r="J111" s="81"/>
      <c r="K111" s="81"/>
      <c r="L111" s="81"/>
      <c r="M111" s="81"/>
      <c r="N111" s="81"/>
      <c r="O111" s="75">
        <v>405398</v>
      </c>
      <c r="P111" s="99">
        <v>5.09</v>
      </c>
      <c r="Q111" s="47"/>
    </row>
    <row r="112" s="3" customFormat="1" ht="19" customHeight="1" spans="1:17">
      <c r="A112" s="67">
        <v>18588</v>
      </c>
      <c r="B112" s="68" t="s">
        <v>109</v>
      </c>
      <c r="C112" s="70" t="s">
        <v>81</v>
      </c>
      <c r="D112" s="68">
        <v>11</v>
      </c>
      <c r="E112" s="70" t="s">
        <v>39</v>
      </c>
      <c r="F112" s="71">
        <v>3.47</v>
      </c>
      <c r="G112" s="71">
        <f t="shared" si="8"/>
        <v>38.17</v>
      </c>
      <c r="H112" s="79"/>
      <c r="I112" s="79"/>
      <c r="J112" s="79"/>
      <c r="K112" s="79"/>
      <c r="L112" s="79"/>
      <c r="M112" s="79"/>
      <c r="N112" s="79"/>
      <c r="O112" s="75">
        <v>405398</v>
      </c>
      <c r="P112" s="99">
        <v>6.22</v>
      </c>
      <c r="Q112" s="47"/>
    </row>
    <row r="113" s="3" customFormat="1" ht="19" customHeight="1" spans="1:17">
      <c r="A113" s="67"/>
      <c r="B113" s="68"/>
      <c r="C113" s="70">
        <v>64</v>
      </c>
      <c r="D113" s="68"/>
      <c r="E113" s="70"/>
      <c r="F113" s="71"/>
      <c r="G113" s="71"/>
      <c r="H113" s="68"/>
      <c r="I113" s="68"/>
      <c r="J113" s="68"/>
      <c r="K113" s="68"/>
      <c r="L113" s="68"/>
      <c r="M113" s="68"/>
      <c r="N113" s="68"/>
      <c r="O113" s="75"/>
      <c r="P113" s="47"/>
      <c r="Q113" s="47"/>
    </row>
    <row r="114" s="3" customFormat="1" ht="19" customHeight="1" spans="1:17">
      <c r="A114" s="67">
        <v>18264</v>
      </c>
      <c r="B114" s="68" t="s">
        <v>113</v>
      </c>
      <c r="C114" s="69" t="s">
        <v>81</v>
      </c>
      <c r="D114" s="68">
        <v>100</v>
      </c>
      <c r="E114" s="69" t="s">
        <v>39</v>
      </c>
      <c r="F114" s="71">
        <v>3.56</v>
      </c>
      <c r="G114" s="74">
        <f t="shared" ref="G114:G120" si="9">F114*D114</f>
        <v>356</v>
      </c>
      <c r="H114" s="78">
        <v>105</v>
      </c>
      <c r="I114" s="79">
        <v>25</v>
      </c>
      <c r="J114" s="79">
        <f t="shared" ref="J114:J120" si="10">D114/I114</f>
        <v>4</v>
      </c>
      <c r="K114" s="79">
        <v>16.75</v>
      </c>
      <c r="L114" s="79">
        <v>18.05</v>
      </c>
      <c r="M114" s="79">
        <f t="shared" ref="M114:M121" si="11">L114*J114</f>
        <v>72.2</v>
      </c>
      <c r="N114" s="79" t="s">
        <v>72</v>
      </c>
      <c r="O114" s="75">
        <v>405398</v>
      </c>
      <c r="P114" s="47"/>
      <c r="Q114" s="47"/>
    </row>
    <row r="115" s="3" customFormat="1" ht="19" customHeight="1" spans="1:17">
      <c r="A115" s="67">
        <v>18408</v>
      </c>
      <c r="B115" s="68" t="s">
        <v>114</v>
      </c>
      <c r="C115" s="69" t="s">
        <v>81</v>
      </c>
      <c r="D115" s="68">
        <v>25</v>
      </c>
      <c r="E115" s="69" t="s">
        <v>39</v>
      </c>
      <c r="F115" s="71">
        <v>3.43</v>
      </c>
      <c r="G115" s="74">
        <f t="shared" si="9"/>
        <v>85.75</v>
      </c>
      <c r="H115" s="78">
        <v>105</v>
      </c>
      <c r="I115" s="79">
        <v>25</v>
      </c>
      <c r="J115" s="79">
        <f t="shared" si="10"/>
        <v>1</v>
      </c>
      <c r="K115" s="79">
        <v>15.25</v>
      </c>
      <c r="L115" s="79">
        <v>16.55</v>
      </c>
      <c r="M115" s="79">
        <f t="shared" si="11"/>
        <v>16.55</v>
      </c>
      <c r="N115" s="79" t="s">
        <v>72</v>
      </c>
      <c r="O115" s="75">
        <v>405398</v>
      </c>
      <c r="P115" s="47"/>
      <c r="Q115" s="47"/>
    </row>
    <row r="116" s="3" customFormat="1" ht="19" customHeight="1" spans="1:17">
      <c r="A116" s="67">
        <v>18416</v>
      </c>
      <c r="B116" s="68" t="s">
        <v>115</v>
      </c>
      <c r="C116" s="70" t="s">
        <v>81</v>
      </c>
      <c r="D116" s="68">
        <v>50</v>
      </c>
      <c r="E116" s="70" t="s">
        <v>39</v>
      </c>
      <c r="F116" s="71">
        <v>3.68</v>
      </c>
      <c r="G116" s="71">
        <f t="shared" si="9"/>
        <v>184</v>
      </c>
      <c r="H116" s="68">
        <v>105</v>
      </c>
      <c r="I116" s="68">
        <v>25</v>
      </c>
      <c r="J116" s="68">
        <f t="shared" si="10"/>
        <v>2</v>
      </c>
      <c r="K116" s="68">
        <v>13.88</v>
      </c>
      <c r="L116" s="68">
        <v>14.88</v>
      </c>
      <c r="M116" s="68">
        <f t="shared" si="11"/>
        <v>29.76</v>
      </c>
      <c r="N116" s="68" t="s">
        <v>72</v>
      </c>
      <c r="O116" s="75">
        <v>405398</v>
      </c>
      <c r="P116" s="47"/>
      <c r="Q116" s="47"/>
    </row>
    <row r="117" s="3" customFormat="1" ht="19" customHeight="1" spans="1:17">
      <c r="A117" s="67">
        <v>18463</v>
      </c>
      <c r="B117" s="68" t="s">
        <v>116</v>
      </c>
      <c r="C117" s="70" t="s">
        <v>81</v>
      </c>
      <c r="D117" s="68">
        <v>25</v>
      </c>
      <c r="E117" s="70" t="s">
        <v>39</v>
      </c>
      <c r="F117" s="71">
        <v>4.16</v>
      </c>
      <c r="G117" s="71">
        <f t="shared" si="9"/>
        <v>104</v>
      </c>
      <c r="H117" s="68">
        <v>105</v>
      </c>
      <c r="I117" s="68">
        <v>25</v>
      </c>
      <c r="J117" s="68">
        <f t="shared" si="10"/>
        <v>1</v>
      </c>
      <c r="K117" s="68">
        <v>18.75</v>
      </c>
      <c r="L117" s="68">
        <v>20.05</v>
      </c>
      <c r="M117" s="68">
        <f t="shared" si="11"/>
        <v>20.05</v>
      </c>
      <c r="N117" s="68" t="s">
        <v>72</v>
      </c>
      <c r="O117" s="75">
        <v>405398</v>
      </c>
      <c r="P117" s="47"/>
      <c r="Q117" s="47"/>
    </row>
    <row r="118" s="3" customFormat="1" ht="19" customHeight="1" spans="1:17">
      <c r="A118" s="67">
        <v>18621</v>
      </c>
      <c r="B118" s="68" t="s">
        <v>117</v>
      </c>
      <c r="C118" s="69" t="s">
        <v>81</v>
      </c>
      <c r="D118" s="68">
        <v>8</v>
      </c>
      <c r="E118" s="69" t="s">
        <v>39</v>
      </c>
      <c r="F118" s="76">
        <v>3.8</v>
      </c>
      <c r="G118" s="77">
        <f t="shared" si="9"/>
        <v>30.4</v>
      </c>
      <c r="H118" s="68">
        <v>105</v>
      </c>
      <c r="I118" s="68">
        <v>8</v>
      </c>
      <c r="J118" s="68">
        <f t="shared" si="10"/>
        <v>1</v>
      </c>
      <c r="K118" s="68">
        <v>5</v>
      </c>
      <c r="L118" s="68">
        <v>6</v>
      </c>
      <c r="M118" s="68">
        <f t="shared" si="11"/>
        <v>6</v>
      </c>
      <c r="N118" s="68" t="s">
        <v>79</v>
      </c>
      <c r="O118" s="23">
        <v>420867</v>
      </c>
      <c r="P118" s="47"/>
      <c r="Q118" s="47"/>
    </row>
    <row r="119" s="3" customFormat="1" ht="19" customHeight="1" spans="1:17">
      <c r="A119" s="67">
        <v>18877</v>
      </c>
      <c r="B119" s="68" t="s">
        <v>118</v>
      </c>
      <c r="C119" s="70" t="s">
        <v>81</v>
      </c>
      <c r="D119" s="68">
        <v>23</v>
      </c>
      <c r="E119" s="70" t="s">
        <v>39</v>
      </c>
      <c r="F119" s="76">
        <v>2.7</v>
      </c>
      <c r="G119" s="88">
        <f t="shared" si="9"/>
        <v>62.1</v>
      </c>
      <c r="H119" s="68">
        <v>105</v>
      </c>
      <c r="I119" s="68">
        <v>23</v>
      </c>
      <c r="J119" s="68">
        <f t="shared" si="10"/>
        <v>1</v>
      </c>
      <c r="K119" s="68">
        <v>8.97</v>
      </c>
      <c r="L119" s="68">
        <v>9.97</v>
      </c>
      <c r="M119" s="68">
        <f t="shared" si="11"/>
        <v>9.97</v>
      </c>
      <c r="N119" s="68" t="s">
        <v>72</v>
      </c>
      <c r="O119" s="23">
        <v>420867</v>
      </c>
      <c r="P119" s="47"/>
      <c r="Q119" s="47"/>
    </row>
    <row r="120" s="3" customFormat="1" ht="19" customHeight="1" spans="1:17">
      <c r="A120" s="67">
        <v>18877</v>
      </c>
      <c r="B120" s="68" t="s">
        <v>118</v>
      </c>
      <c r="C120" s="70" t="s">
        <v>81</v>
      </c>
      <c r="D120" s="68">
        <v>25</v>
      </c>
      <c r="E120" s="70" t="s">
        <v>39</v>
      </c>
      <c r="F120" s="76">
        <v>2.7</v>
      </c>
      <c r="G120" s="88">
        <f t="shared" si="9"/>
        <v>67.5</v>
      </c>
      <c r="H120" s="68">
        <v>105</v>
      </c>
      <c r="I120" s="68">
        <v>25</v>
      </c>
      <c r="J120" s="68">
        <f t="shared" si="10"/>
        <v>1</v>
      </c>
      <c r="K120" s="68">
        <v>9.75</v>
      </c>
      <c r="L120" s="68">
        <v>11.05</v>
      </c>
      <c r="M120" s="68">
        <f t="shared" si="11"/>
        <v>11.05</v>
      </c>
      <c r="N120" s="68" t="s">
        <v>72</v>
      </c>
      <c r="O120" s="23">
        <v>420867</v>
      </c>
      <c r="P120" s="47"/>
      <c r="Q120" s="47"/>
    </row>
    <row r="121" s="3" customFormat="1" ht="19" customHeight="1" spans="1:17">
      <c r="A121" s="67">
        <v>18264</v>
      </c>
      <c r="B121" s="68" t="s">
        <v>113</v>
      </c>
      <c r="C121" s="70" t="s">
        <v>81</v>
      </c>
      <c r="D121" s="68">
        <v>18</v>
      </c>
      <c r="E121" s="70" t="s">
        <v>39</v>
      </c>
      <c r="F121" s="71">
        <v>3.56</v>
      </c>
      <c r="G121" s="71">
        <f t="shared" ref="G119:G134" si="12">F121*D121</f>
        <v>64.08</v>
      </c>
      <c r="H121" s="80">
        <v>105</v>
      </c>
      <c r="I121" s="80">
        <v>25</v>
      </c>
      <c r="J121" s="80">
        <v>1</v>
      </c>
      <c r="K121" s="80">
        <v>15.9</v>
      </c>
      <c r="L121" s="80">
        <v>16.9</v>
      </c>
      <c r="M121" s="80">
        <f t="shared" si="11"/>
        <v>16.9</v>
      </c>
      <c r="N121" s="80" t="s">
        <v>72</v>
      </c>
      <c r="O121" s="75">
        <v>405398</v>
      </c>
      <c r="P121" s="47">
        <v>12.06</v>
      </c>
      <c r="Q121" s="47"/>
    </row>
    <row r="122" s="3" customFormat="1" ht="19" customHeight="1" spans="1:17">
      <c r="A122" s="67">
        <v>18416</v>
      </c>
      <c r="B122" s="68" t="s">
        <v>115</v>
      </c>
      <c r="C122" s="70" t="s">
        <v>81</v>
      </c>
      <c r="D122" s="68">
        <v>7</v>
      </c>
      <c r="E122" s="70" t="s">
        <v>39</v>
      </c>
      <c r="F122" s="71">
        <v>3.68</v>
      </c>
      <c r="G122" s="71">
        <f t="shared" si="12"/>
        <v>25.76</v>
      </c>
      <c r="H122" s="79"/>
      <c r="I122" s="79"/>
      <c r="J122" s="79"/>
      <c r="K122" s="79"/>
      <c r="L122" s="79"/>
      <c r="M122" s="79"/>
      <c r="N122" s="79"/>
      <c r="O122" s="75">
        <v>405398</v>
      </c>
      <c r="P122" s="47">
        <v>3.8864</v>
      </c>
      <c r="Q122" s="47"/>
    </row>
    <row r="123" s="3" customFormat="1" ht="19" customHeight="1" spans="1:17">
      <c r="A123" s="67">
        <v>18228</v>
      </c>
      <c r="B123" s="68" t="s">
        <v>119</v>
      </c>
      <c r="C123" s="70" t="s">
        <v>81</v>
      </c>
      <c r="D123" s="68">
        <v>9</v>
      </c>
      <c r="E123" s="70" t="s">
        <v>39</v>
      </c>
      <c r="F123" s="71">
        <v>3.29</v>
      </c>
      <c r="G123" s="71">
        <f t="shared" si="12"/>
        <v>29.61</v>
      </c>
      <c r="H123" s="68">
        <v>105</v>
      </c>
      <c r="I123" s="68">
        <v>24</v>
      </c>
      <c r="J123" s="68">
        <v>1</v>
      </c>
      <c r="K123" s="68">
        <v>16.3</v>
      </c>
      <c r="L123" s="68">
        <v>17.3</v>
      </c>
      <c r="M123" s="68">
        <f>L123*J123</f>
        <v>17.3</v>
      </c>
      <c r="N123" s="68" t="s">
        <v>72</v>
      </c>
      <c r="O123" s="75">
        <v>405398</v>
      </c>
      <c r="P123" s="47">
        <v>5.2632</v>
      </c>
      <c r="Q123" s="47"/>
    </row>
    <row r="124" s="3" customFormat="1" ht="19" customHeight="1" spans="1:17">
      <c r="A124" s="67">
        <v>18463</v>
      </c>
      <c r="B124" s="68" t="s">
        <v>116</v>
      </c>
      <c r="C124" s="70" t="s">
        <v>81</v>
      </c>
      <c r="D124" s="68">
        <v>13</v>
      </c>
      <c r="E124" s="70" t="s">
        <v>39</v>
      </c>
      <c r="F124" s="71">
        <v>4.16</v>
      </c>
      <c r="G124" s="71">
        <f t="shared" si="12"/>
        <v>54.08</v>
      </c>
      <c r="H124" s="68"/>
      <c r="I124" s="68"/>
      <c r="J124" s="68"/>
      <c r="K124" s="68"/>
      <c r="L124" s="68"/>
      <c r="M124" s="68"/>
      <c r="N124" s="68"/>
      <c r="O124" s="75">
        <v>405398</v>
      </c>
      <c r="P124" s="47">
        <v>9.75</v>
      </c>
      <c r="Q124" s="47"/>
    </row>
    <row r="125" s="3" customFormat="1" ht="19" customHeight="1" spans="1:17">
      <c r="A125" s="67">
        <v>18464</v>
      </c>
      <c r="B125" s="68" t="s">
        <v>120</v>
      </c>
      <c r="C125" s="70" t="s">
        <v>81</v>
      </c>
      <c r="D125" s="68">
        <v>2</v>
      </c>
      <c r="E125" s="70" t="s">
        <v>39</v>
      </c>
      <c r="F125" s="71">
        <v>3.74</v>
      </c>
      <c r="G125" s="71">
        <f t="shared" si="12"/>
        <v>7.48</v>
      </c>
      <c r="H125" s="68"/>
      <c r="I125" s="68"/>
      <c r="J125" s="68"/>
      <c r="K125" s="68"/>
      <c r="L125" s="68"/>
      <c r="M125" s="68"/>
      <c r="N125" s="68"/>
      <c r="O125" s="75">
        <v>405398</v>
      </c>
      <c r="P125" s="47">
        <v>1.3</v>
      </c>
      <c r="Q125" s="47"/>
    </row>
    <row r="126" s="3" customFormat="1" ht="19" customHeight="1" spans="1:17">
      <c r="A126" s="67">
        <v>18621</v>
      </c>
      <c r="B126" s="68" t="s">
        <v>117</v>
      </c>
      <c r="C126" s="70" t="s">
        <v>81</v>
      </c>
      <c r="D126" s="68">
        <v>6</v>
      </c>
      <c r="E126" s="70" t="s">
        <v>39</v>
      </c>
      <c r="F126" s="71">
        <v>3.8</v>
      </c>
      <c r="G126" s="71">
        <f t="shared" si="12"/>
        <v>22.8</v>
      </c>
      <c r="H126" s="80">
        <v>105</v>
      </c>
      <c r="I126" s="80">
        <v>25</v>
      </c>
      <c r="J126" s="80">
        <v>1</v>
      </c>
      <c r="K126" s="80">
        <v>11.6</v>
      </c>
      <c r="L126" s="80">
        <v>12.6</v>
      </c>
      <c r="M126" s="80">
        <f>L126*J126</f>
        <v>12.6</v>
      </c>
      <c r="N126" s="80" t="s">
        <v>72</v>
      </c>
      <c r="O126" s="75">
        <v>405398</v>
      </c>
      <c r="P126" s="47">
        <v>3.7512</v>
      </c>
      <c r="Q126" s="47"/>
    </row>
    <row r="127" s="3" customFormat="1" ht="19" customHeight="1" spans="1:17">
      <c r="A127" s="67">
        <v>18877</v>
      </c>
      <c r="B127" s="68" t="s">
        <v>118</v>
      </c>
      <c r="C127" s="70" t="s">
        <v>81</v>
      </c>
      <c r="D127" s="68">
        <v>17</v>
      </c>
      <c r="E127" s="70" t="s">
        <v>39</v>
      </c>
      <c r="F127" s="71">
        <v>2.7</v>
      </c>
      <c r="G127" s="71">
        <f t="shared" si="12"/>
        <v>45.9</v>
      </c>
      <c r="H127" s="81"/>
      <c r="I127" s="81"/>
      <c r="J127" s="81"/>
      <c r="K127" s="81"/>
      <c r="L127" s="81"/>
      <c r="M127" s="81"/>
      <c r="N127" s="81"/>
      <c r="O127" s="75">
        <v>405398</v>
      </c>
      <c r="P127" s="47">
        <v>6.63</v>
      </c>
      <c r="Q127" s="47"/>
    </row>
    <row r="128" s="3" customFormat="1" ht="19" customHeight="1" spans="1:17">
      <c r="A128" s="67">
        <v>18053</v>
      </c>
      <c r="B128" s="68" t="s">
        <v>121</v>
      </c>
      <c r="C128" s="70" t="s">
        <v>81</v>
      </c>
      <c r="D128" s="68">
        <v>1</v>
      </c>
      <c r="E128" s="70" t="s">
        <v>39</v>
      </c>
      <c r="F128" s="71">
        <v>3.9</v>
      </c>
      <c r="G128" s="71">
        <f t="shared" si="12"/>
        <v>3.9</v>
      </c>
      <c r="H128" s="81"/>
      <c r="I128" s="81"/>
      <c r="J128" s="81"/>
      <c r="K128" s="81"/>
      <c r="L128" s="81"/>
      <c r="M128" s="81"/>
      <c r="N128" s="81"/>
      <c r="O128" s="75">
        <v>405398</v>
      </c>
      <c r="P128" s="47">
        <v>0.6552</v>
      </c>
      <c r="Q128" s="47"/>
    </row>
    <row r="129" s="3" customFormat="1" ht="19" customHeight="1" spans="1:17 16369:16384">
      <c r="A129" s="67">
        <v>18057</v>
      </c>
      <c r="B129" s="68" t="s">
        <v>122</v>
      </c>
      <c r="C129" s="70" t="s">
        <v>81</v>
      </c>
      <c r="D129" s="68">
        <v>1</v>
      </c>
      <c r="E129" s="70" t="s">
        <v>39</v>
      </c>
      <c r="F129" s="71">
        <v>3.78</v>
      </c>
      <c r="G129" s="71">
        <f t="shared" si="12"/>
        <v>3.78</v>
      </c>
      <c r="H129" s="79"/>
      <c r="I129" s="79"/>
      <c r="J129" s="79"/>
      <c r="K129" s="79"/>
      <c r="L129" s="79"/>
      <c r="M129" s="79"/>
      <c r="N129" s="79"/>
      <c r="O129" s="75">
        <v>405398</v>
      </c>
      <c r="P129" s="47">
        <v>0.592</v>
      </c>
      <c r="Q129" s="47"/>
    </row>
    <row r="130" s="3" customFormat="1" ht="19" customHeight="1" spans="1:17 16369:16384">
      <c r="A130" s="67">
        <v>18620</v>
      </c>
      <c r="B130" s="68" t="s">
        <v>123</v>
      </c>
      <c r="C130" s="70" t="s">
        <v>81</v>
      </c>
      <c r="D130" s="68">
        <v>1</v>
      </c>
      <c r="E130" s="70" t="s">
        <v>39</v>
      </c>
      <c r="F130" s="71">
        <v>3.89</v>
      </c>
      <c r="G130" s="71">
        <f t="shared" si="12"/>
        <v>3.89</v>
      </c>
      <c r="H130" s="80">
        <v>105</v>
      </c>
      <c r="I130" s="80">
        <v>10</v>
      </c>
      <c r="J130" s="80">
        <v>1</v>
      </c>
      <c r="K130" s="80">
        <v>6.6</v>
      </c>
      <c r="L130" s="80">
        <v>7.6</v>
      </c>
      <c r="M130" s="80">
        <f>L130*J130</f>
        <v>7.6</v>
      </c>
      <c r="N130" s="80" t="s">
        <v>124</v>
      </c>
      <c r="O130" s="75">
        <v>405398</v>
      </c>
      <c r="P130" s="47">
        <v>0.66</v>
      </c>
      <c r="Q130" s="47"/>
    </row>
    <row r="131" s="3" customFormat="1" ht="19" customHeight="1" spans="1:17 16369:16384">
      <c r="A131" s="67">
        <v>18675</v>
      </c>
      <c r="B131" s="68" t="s">
        <v>125</v>
      </c>
      <c r="C131" s="70" t="s">
        <v>81</v>
      </c>
      <c r="D131" s="68">
        <v>1</v>
      </c>
      <c r="E131" s="70" t="s">
        <v>39</v>
      </c>
      <c r="F131" s="71">
        <v>3.83</v>
      </c>
      <c r="G131" s="71">
        <f t="shared" si="12"/>
        <v>3.83</v>
      </c>
      <c r="H131" s="81"/>
      <c r="I131" s="81"/>
      <c r="J131" s="81"/>
      <c r="K131" s="81"/>
      <c r="L131" s="81"/>
      <c r="M131" s="81"/>
      <c r="N131" s="81"/>
      <c r="O131" s="75">
        <v>405398</v>
      </c>
      <c r="P131" s="47">
        <v>0.728</v>
      </c>
      <c r="Q131" s="47"/>
    </row>
    <row r="132" s="3" customFormat="1" ht="19" customHeight="1" spans="1:17 16369:16384">
      <c r="A132" s="67">
        <v>18936</v>
      </c>
      <c r="B132" s="68" t="s">
        <v>126</v>
      </c>
      <c r="C132" s="70" t="s">
        <v>81</v>
      </c>
      <c r="D132" s="68">
        <v>1</v>
      </c>
      <c r="E132" s="70" t="s">
        <v>39</v>
      </c>
      <c r="F132" s="71">
        <v>3.81</v>
      </c>
      <c r="G132" s="71">
        <f t="shared" si="12"/>
        <v>3.81</v>
      </c>
      <c r="H132" s="81"/>
      <c r="I132" s="81"/>
      <c r="J132" s="81"/>
      <c r="K132" s="81"/>
      <c r="L132" s="81"/>
      <c r="M132" s="81"/>
      <c r="N132" s="81"/>
      <c r="O132" s="75">
        <v>405398</v>
      </c>
      <c r="P132" s="47">
        <v>0.9</v>
      </c>
      <c r="Q132" s="47"/>
    </row>
    <row r="133" s="3" customFormat="1" ht="19" customHeight="1" spans="1:17 16369:16384">
      <c r="A133" s="67">
        <v>18054</v>
      </c>
      <c r="B133" s="68" t="s">
        <v>127</v>
      </c>
      <c r="C133" s="70" t="s">
        <v>81</v>
      </c>
      <c r="D133" s="68">
        <v>2</v>
      </c>
      <c r="E133" s="70" t="s">
        <v>39</v>
      </c>
      <c r="F133" s="71">
        <v>3.65</v>
      </c>
      <c r="G133" s="71">
        <f t="shared" si="12"/>
        <v>7.3</v>
      </c>
      <c r="H133" s="81"/>
      <c r="I133" s="81"/>
      <c r="J133" s="81"/>
      <c r="K133" s="81"/>
      <c r="L133" s="81"/>
      <c r="M133" s="81"/>
      <c r="N133" s="81"/>
      <c r="O133" s="75">
        <v>405398</v>
      </c>
      <c r="P133" s="47">
        <v>1.2504</v>
      </c>
      <c r="Q133" s="47"/>
    </row>
    <row r="134" s="3" customFormat="1" ht="19" customHeight="1" spans="1:17 16369:16384">
      <c r="A134" s="67">
        <v>18408</v>
      </c>
      <c r="B134" s="68" t="s">
        <v>114</v>
      </c>
      <c r="C134" s="70" t="s">
        <v>81</v>
      </c>
      <c r="D134" s="68">
        <v>5</v>
      </c>
      <c r="E134" s="70" t="s">
        <v>39</v>
      </c>
      <c r="F134" s="71">
        <v>3.43</v>
      </c>
      <c r="G134" s="71">
        <f t="shared" si="12"/>
        <v>17.15</v>
      </c>
      <c r="H134" s="79"/>
      <c r="I134" s="79"/>
      <c r="J134" s="79"/>
      <c r="K134" s="79"/>
      <c r="L134" s="79"/>
      <c r="M134" s="79"/>
      <c r="N134" s="79"/>
      <c r="O134" s="75">
        <v>405398</v>
      </c>
      <c r="P134" s="47">
        <v>3.05</v>
      </c>
      <c r="Q134" s="47"/>
    </row>
    <row r="135" s="3" customFormat="1" ht="19" customHeight="1" spans="1:17 16369:16384">
      <c r="A135" s="67"/>
      <c r="B135" s="68"/>
      <c r="C135" s="70">
        <v>286</v>
      </c>
      <c r="D135" s="68"/>
      <c r="E135" s="70"/>
      <c r="F135" s="71"/>
      <c r="G135" s="71"/>
      <c r="H135" s="68"/>
      <c r="I135" s="68"/>
      <c r="J135" s="68"/>
      <c r="K135" s="68"/>
      <c r="L135" s="68"/>
      <c r="M135" s="68"/>
      <c r="N135" s="68"/>
      <c r="O135" s="75"/>
      <c r="P135" s="47"/>
      <c r="Q135" s="47"/>
    </row>
    <row r="136" s="3" customFormat="1" ht="19" customHeight="1" spans="1:17 16369:16384">
      <c r="A136" s="67">
        <v>18106</v>
      </c>
      <c r="B136" s="68" t="s">
        <v>128</v>
      </c>
      <c r="C136" s="70" t="s">
        <v>81</v>
      </c>
      <c r="D136" s="68">
        <v>75</v>
      </c>
      <c r="E136" s="70" t="s">
        <v>39</v>
      </c>
      <c r="F136" s="71">
        <v>8.41</v>
      </c>
      <c r="G136" s="71">
        <f t="shared" ref="G136:G141" si="13">F136*D136</f>
        <v>630.75</v>
      </c>
      <c r="H136" s="68">
        <v>106</v>
      </c>
      <c r="I136" s="68">
        <v>25</v>
      </c>
      <c r="J136" s="68">
        <f t="shared" ref="J136:J146" si="14">D136/I136</f>
        <v>3</v>
      </c>
      <c r="K136" s="68">
        <v>24.12</v>
      </c>
      <c r="L136" s="68">
        <v>25.6</v>
      </c>
      <c r="M136" s="68">
        <f t="shared" ref="M136:M141" si="15">L136*J136</f>
        <v>76.8</v>
      </c>
      <c r="N136" s="68" t="s">
        <v>129</v>
      </c>
      <c r="O136" s="75">
        <v>405398</v>
      </c>
      <c r="P136" s="47"/>
      <c r="Q136" s="47"/>
    </row>
    <row r="137" s="3" customFormat="1" ht="19" customHeight="1" spans="1:17 16369:16384">
      <c r="A137" s="67">
        <v>18559</v>
      </c>
      <c r="B137" s="68" t="s">
        <v>130</v>
      </c>
      <c r="C137" s="70" t="s">
        <v>81</v>
      </c>
      <c r="D137" s="68">
        <v>120</v>
      </c>
      <c r="E137" s="70" t="s">
        <v>39</v>
      </c>
      <c r="F137" s="71">
        <v>8.7</v>
      </c>
      <c r="G137" s="71">
        <f t="shared" si="13"/>
        <v>1044</v>
      </c>
      <c r="H137" s="68">
        <v>106</v>
      </c>
      <c r="I137" s="68">
        <v>20</v>
      </c>
      <c r="J137" s="68">
        <f t="shared" si="14"/>
        <v>6</v>
      </c>
      <c r="K137" s="68">
        <v>22.8</v>
      </c>
      <c r="L137" s="68">
        <v>24.3</v>
      </c>
      <c r="M137" s="68">
        <f t="shared" si="15"/>
        <v>145.8</v>
      </c>
      <c r="N137" s="68" t="s">
        <v>131</v>
      </c>
      <c r="O137" s="75">
        <v>405398</v>
      </c>
      <c r="P137" s="47"/>
      <c r="Q137" s="47"/>
    </row>
    <row r="138" s="3" customFormat="1" ht="19" customHeight="1" spans="1:17 16369:16384">
      <c r="A138" s="67">
        <v>18561</v>
      </c>
      <c r="B138" s="68" t="s">
        <v>132</v>
      </c>
      <c r="C138" s="70" t="s">
        <v>81</v>
      </c>
      <c r="D138" s="68">
        <v>100</v>
      </c>
      <c r="E138" s="70" t="s">
        <v>39</v>
      </c>
      <c r="F138" s="71">
        <v>5.63</v>
      </c>
      <c r="G138" s="71">
        <f t="shared" si="13"/>
        <v>563</v>
      </c>
      <c r="H138" s="68">
        <v>106</v>
      </c>
      <c r="I138" s="68">
        <v>25</v>
      </c>
      <c r="J138" s="68">
        <f t="shared" si="14"/>
        <v>4</v>
      </c>
      <c r="K138" s="68">
        <v>20.75</v>
      </c>
      <c r="L138" s="68">
        <v>22.3</v>
      </c>
      <c r="M138" s="68">
        <f t="shared" si="15"/>
        <v>89.2</v>
      </c>
      <c r="N138" s="68" t="s">
        <v>129</v>
      </c>
      <c r="O138" s="75">
        <v>405398</v>
      </c>
      <c r="P138" s="47"/>
      <c r="Q138" s="47"/>
    </row>
    <row r="139" s="3" customFormat="1" ht="19" customHeight="1" spans="1:17 16369:16384">
      <c r="A139" s="67">
        <v>18586</v>
      </c>
      <c r="B139" s="68" t="s">
        <v>133</v>
      </c>
      <c r="C139" s="70" t="s">
        <v>81</v>
      </c>
      <c r="D139" s="68">
        <v>325</v>
      </c>
      <c r="E139" s="70" t="s">
        <v>39</v>
      </c>
      <c r="F139" s="71">
        <v>5.33</v>
      </c>
      <c r="G139" s="71">
        <f t="shared" si="13"/>
        <v>1732.25</v>
      </c>
      <c r="H139" s="68">
        <v>106</v>
      </c>
      <c r="I139" s="68">
        <v>25</v>
      </c>
      <c r="J139" s="68">
        <f t="shared" si="14"/>
        <v>13</v>
      </c>
      <c r="K139" s="68">
        <v>19.25</v>
      </c>
      <c r="L139" s="68">
        <v>20.75</v>
      </c>
      <c r="M139" s="68">
        <f t="shared" si="15"/>
        <v>269.75</v>
      </c>
      <c r="N139" s="68" t="s">
        <v>129</v>
      </c>
      <c r="O139" s="75">
        <v>405398</v>
      </c>
      <c r="P139" s="47"/>
      <c r="Q139" s="47"/>
    </row>
    <row r="140" s="3" customFormat="1" ht="19" customHeight="1" spans="1:17 16369:16384">
      <c r="A140" s="67">
        <v>18589</v>
      </c>
      <c r="B140" s="68" t="s">
        <v>134</v>
      </c>
      <c r="C140" s="70" t="s">
        <v>81</v>
      </c>
      <c r="D140" s="68">
        <v>20</v>
      </c>
      <c r="E140" s="70" t="s">
        <v>39</v>
      </c>
      <c r="F140" s="71">
        <v>4.73</v>
      </c>
      <c r="G140" s="71">
        <f t="shared" si="13"/>
        <v>94.6</v>
      </c>
      <c r="H140" s="68">
        <v>106</v>
      </c>
      <c r="I140" s="68">
        <v>20</v>
      </c>
      <c r="J140" s="68">
        <f t="shared" si="14"/>
        <v>1</v>
      </c>
      <c r="K140" s="68">
        <v>21.6</v>
      </c>
      <c r="L140" s="68">
        <v>23.1</v>
      </c>
      <c r="M140" s="68">
        <f t="shared" si="15"/>
        <v>23.1</v>
      </c>
      <c r="N140" s="68" t="s">
        <v>131</v>
      </c>
      <c r="O140" s="75">
        <v>405398</v>
      </c>
      <c r="P140" s="47"/>
      <c r="Q140" s="47"/>
    </row>
    <row r="141" s="5" customFormat="1" ht="20" customHeight="1" spans="1:17 16369:16384">
      <c r="A141" s="100">
        <v>18648</v>
      </c>
      <c r="B141" s="68" t="s">
        <v>135</v>
      </c>
      <c r="C141" s="70" t="s">
        <v>81</v>
      </c>
      <c r="D141" s="68">
        <v>400</v>
      </c>
      <c r="E141" s="70" t="s">
        <v>39</v>
      </c>
      <c r="F141" s="74">
        <v>8.55</v>
      </c>
      <c r="G141" s="71">
        <f t="shared" si="13"/>
        <v>3420</v>
      </c>
      <c r="H141" s="68">
        <v>106</v>
      </c>
      <c r="I141" s="68">
        <v>25</v>
      </c>
      <c r="J141" s="68">
        <f t="shared" si="14"/>
        <v>16</v>
      </c>
      <c r="K141" s="68">
        <v>26.12</v>
      </c>
      <c r="L141" s="68">
        <v>27.6</v>
      </c>
      <c r="M141" s="68">
        <f t="shared" si="15"/>
        <v>441.6</v>
      </c>
      <c r="N141" s="68" t="s">
        <v>129</v>
      </c>
      <c r="O141" s="101">
        <v>405398</v>
      </c>
      <c r="P141" s="47"/>
      <c r="Q141" s="5"/>
      <c r="XEO141" s="102"/>
      <c r="XEP141" s="102"/>
      <c r="XEQ141" s="102"/>
      <c r="XER141" s="102"/>
      <c r="XES141" s="102"/>
      <c r="XET141" s="102"/>
      <c r="XEU141" s="102"/>
      <c r="XEV141" s="102"/>
      <c r="XEW141" s="102"/>
      <c r="XEX141" s="102"/>
      <c r="XEY141" s="102"/>
      <c r="XEZ141" s="102"/>
      <c r="XFA141" s="102"/>
      <c r="XFB141" s="102"/>
      <c r="XFC141" s="102"/>
      <c r="XFD141" s="102"/>
    </row>
    <row r="142" s="3" customFormat="1" ht="19" customHeight="1" spans="1:17 16369:16384">
      <c r="A142" s="67">
        <v>18718</v>
      </c>
      <c r="B142" s="68" t="s">
        <v>136</v>
      </c>
      <c r="C142" s="70" t="s">
        <v>81</v>
      </c>
      <c r="D142" s="68">
        <v>25</v>
      </c>
      <c r="E142" s="70" t="s">
        <v>39</v>
      </c>
      <c r="F142" s="71">
        <v>11.88</v>
      </c>
      <c r="G142" s="71">
        <f t="shared" ref="G142:G159" si="16">F142*D142</f>
        <v>297</v>
      </c>
      <c r="H142" s="68">
        <v>106</v>
      </c>
      <c r="I142" s="68">
        <v>25</v>
      </c>
      <c r="J142" s="68">
        <f t="shared" si="14"/>
        <v>1</v>
      </c>
      <c r="K142" s="68">
        <v>18.25</v>
      </c>
      <c r="L142" s="68">
        <v>19.75</v>
      </c>
      <c r="M142" s="68">
        <f t="shared" ref="M142:M147" si="17">L142*J142</f>
        <v>19.75</v>
      </c>
      <c r="N142" s="68" t="s">
        <v>129</v>
      </c>
      <c r="O142" s="75">
        <v>405398</v>
      </c>
      <c r="P142" s="47"/>
      <c r="Q142" s="47"/>
    </row>
    <row r="143" s="3" customFormat="1" ht="19" customHeight="1" spans="1:17 16369:16384">
      <c r="A143" s="67">
        <v>18783</v>
      </c>
      <c r="B143" s="68" t="s">
        <v>137</v>
      </c>
      <c r="C143" s="70" t="s">
        <v>81</v>
      </c>
      <c r="D143" s="68">
        <v>75</v>
      </c>
      <c r="E143" s="70" t="s">
        <v>39</v>
      </c>
      <c r="F143" s="71">
        <v>3.47</v>
      </c>
      <c r="G143" s="71">
        <f t="shared" si="16"/>
        <v>260.25</v>
      </c>
      <c r="H143" s="68">
        <v>106</v>
      </c>
      <c r="I143" s="68">
        <v>25</v>
      </c>
      <c r="J143" s="68">
        <f t="shared" si="14"/>
        <v>3</v>
      </c>
      <c r="K143" s="68">
        <v>14.13</v>
      </c>
      <c r="L143" s="68">
        <v>15.6</v>
      </c>
      <c r="M143" s="68">
        <f t="shared" si="17"/>
        <v>46.8</v>
      </c>
      <c r="N143" s="68" t="s">
        <v>129</v>
      </c>
      <c r="O143" s="75">
        <v>405398</v>
      </c>
      <c r="P143" s="47"/>
      <c r="Q143" s="47"/>
    </row>
    <row r="144" s="3" customFormat="1" ht="19" customHeight="1" spans="1:17 16369:16384">
      <c r="A144" s="67">
        <v>18829</v>
      </c>
      <c r="B144" s="68" t="s">
        <v>138</v>
      </c>
      <c r="C144" s="70" t="s">
        <v>81</v>
      </c>
      <c r="D144" s="68">
        <v>60</v>
      </c>
      <c r="E144" s="70" t="s">
        <v>39</v>
      </c>
      <c r="F144" s="71">
        <v>5.27</v>
      </c>
      <c r="G144" s="71">
        <f t="shared" si="16"/>
        <v>316.2</v>
      </c>
      <c r="H144" s="68">
        <v>106</v>
      </c>
      <c r="I144" s="68">
        <v>20</v>
      </c>
      <c r="J144" s="68">
        <f t="shared" si="14"/>
        <v>3</v>
      </c>
      <c r="K144" s="68">
        <v>14.8</v>
      </c>
      <c r="L144" s="68">
        <v>16.1</v>
      </c>
      <c r="M144" s="68">
        <f t="shared" si="17"/>
        <v>48.3</v>
      </c>
      <c r="N144" s="68" t="s">
        <v>131</v>
      </c>
      <c r="O144" s="75">
        <v>405398</v>
      </c>
      <c r="P144" s="47"/>
      <c r="Q144" s="47"/>
    </row>
    <row r="145" s="3" customFormat="1" ht="19" customHeight="1" spans="1:17">
      <c r="A145" s="67">
        <v>18949</v>
      </c>
      <c r="B145" s="68" t="s">
        <v>139</v>
      </c>
      <c r="C145" s="70" t="s">
        <v>81</v>
      </c>
      <c r="D145" s="68">
        <v>250</v>
      </c>
      <c r="E145" s="70" t="s">
        <v>39</v>
      </c>
      <c r="F145" s="71">
        <v>7.7</v>
      </c>
      <c r="G145" s="71">
        <f t="shared" si="16"/>
        <v>1925</v>
      </c>
      <c r="H145" s="68">
        <v>106</v>
      </c>
      <c r="I145" s="68">
        <v>25</v>
      </c>
      <c r="J145" s="68">
        <f t="shared" si="14"/>
        <v>10</v>
      </c>
      <c r="K145" s="68">
        <v>22.38</v>
      </c>
      <c r="L145" s="68">
        <v>23.88</v>
      </c>
      <c r="M145" s="68">
        <f t="shared" si="17"/>
        <v>238.8</v>
      </c>
      <c r="N145" s="68" t="s">
        <v>129</v>
      </c>
      <c r="O145" s="75">
        <v>405398</v>
      </c>
      <c r="P145" s="47"/>
      <c r="Q145" s="47"/>
    </row>
    <row r="146" s="3" customFormat="1" ht="19" customHeight="1" spans="1:17">
      <c r="A146" s="67">
        <v>19781</v>
      </c>
      <c r="B146" s="68" t="s">
        <v>140</v>
      </c>
      <c r="C146" s="70" t="s">
        <v>81</v>
      </c>
      <c r="D146" s="68">
        <v>475</v>
      </c>
      <c r="E146" s="70" t="s">
        <v>39</v>
      </c>
      <c r="F146" s="71">
        <v>7.31</v>
      </c>
      <c r="G146" s="71">
        <f t="shared" si="16"/>
        <v>3472.25</v>
      </c>
      <c r="H146" s="68">
        <v>106</v>
      </c>
      <c r="I146" s="68">
        <v>25</v>
      </c>
      <c r="J146" s="68">
        <f t="shared" si="14"/>
        <v>19</v>
      </c>
      <c r="K146" s="68">
        <v>22</v>
      </c>
      <c r="L146" s="68">
        <v>23</v>
      </c>
      <c r="M146" s="68">
        <f t="shared" si="17"/>
        <v>437</v>
      </c>
      <c r="N146" s="68" t="s">
        <v>129</v>
      </c>
      <c r="O146" s="75">
        <v>405398</v>
      </c>
      <c r="P146" s="47"/>
      <c r="Q146" s="47"/>
    </row>
    <row r="147" s="3" customFormat="1" ht="19" customHeight="1" spans="1:17">
      <c r="A147" s="67">
        <v>18783</v>
      </c>
      <c r="B147" s="68" t="s">
        <v>137</v>
      </c>
      <c r="C147" s="70" t="s">
        <v>81</v>
      </c>
      <c r="D147" s="68">
        <v>22</v>
      </c>
      <c r="E147" s="70" t="s">
        <v>39</v>
      </c>
      <c r="F147" s="71">
        <v>3.47</v>
      </c>
      <c r="G147" s="71">
        <f t="shared" si="16"/>
        <v>76.34</v>
      </c>
      <c r="H147" s="80">
        <v>106</v>
      </c>
      <c r="I147" s="80">
        <v>25</v>
      </c>
      <c r="J147" s="80">
        <v>1</v>
      </c>
      <c r="K147" s="80">
        <v>14.3</v>
      </c>
      <c r="L147" s="80">
        <v>15.3</v>
      </c>
      <c r="M147" s="80">
        <f t="shared" si="17"/>
        <v>15.3</v>
      </c>
      <c r="N147" s="80" t="s">
        <v>129</v>
      </c>
      <c r="O147" s="75">
        <v>405398</v>
      </c>
      <c r="P147" s="47">
        <v>12.4344</v>
      </c>
      <c r="Q147" s="47"/>
    </row>
    <row r="148" s="3" customFormat="1" ht="19" customHeight="1" spans="1:17">
      <c r="A148" s="67">
        <v>18942</v>
      </c>
      <c r="B148" s="68" t="s">
        <v>141</v>
      </c>
      <c r="C148" s="70" t="s">
        <v>81</v>
      </c>
      <c r="D148" s="68">
        <v>3</v>
      </c>
      <c r="E148" s="70" t="s">
        <v>39</v>
      </c>
      <c r="F148" s="71">
        <v>3.89</v>
      </c>
      <c r="G148" s="71">
        <f t="shared" si="16"/>
        <v>11.67</v>
      </c>
      <c r="H148" s="79"/>
      <c r="I148" s="79"/>
      <c r="J148" s="79"/>
      <c r="K148" s="79"/>
      <c r="L148" s="79"/>
      <c r="M148" s="79"/>
      <c r="N148" s="79"/>
      <c r="O148" s="75">
        <v>405398</v>
      </c>
      <c r="P148" s="47">
        <v>1.92</v>
      </c>
      <c r="Q148" s="47"/>
    </row>
    <row r="149" s="3" customFormat="1" ht="19" customHeight="1" spans="1:17">
      <c r="A149" s="67">
        <v>19564</v>
      </c>
      <c r="B149" s="68" t="s">
        <v>142</v>
      </c>
      <c r="C149" s="70" t="s">
        <v>81</v>
      </c>
      <c r="D149" s="68">
        <v>21</v>
      </c>
      <c r="E149" s="70" t="s">
        <v>39</v>
      </c>
      <c r="F149" s="71">
        <v>4</v>
      </c>
      <c r="G149" s="71">
        <f t="shared" si="16"/>
        <v>84</v>
      </c>
      <c r="H149" s="80">
        <v>106</v>
      </c>
      <c r="I149" s="80">
        <v>25</v>
      </c>
      <c r="J149" s="80">
        <v>1</v>
      </c>
      <c r="K149" s="80">
        <v>16.4</v>
      </c>
      <c r="L149" s="80">
        <v>17.4</v>
      </c>
      <c r="M149" s="80">
        <f>L149*J149</f>
        <v>17.4</v>
      </c>
      <c r="N149" s="80" t="s">
        <v>129</v>
      </c>
      <c r="O149" s="75">
        <v>405398</v>
      </c>
      <c r="P149" s="47">
        <v>12.096</v>
      </c>
      <c r="Q149" s="47"/>
    </row>
    <row r="150" s="3" customFormat="1" ht="19" customHeight="1" spans="1:17">
      <c r="A150" s="67">
        <v>18589</v>
      </c>
      <c r="B150" s="68" t="s">
        <v>134</v>
      </c>
      <c r="C150" s="70" t="s">
        <v>81</v>
      </c>
      <c r="D150" s="68">
        <v>4</v>
      </c>
      <c r="E150" s="70" t="s">
        <v>39</v>
      </c>
      <c r="F150" s="71">
        <v>4.73</v>
      </c>
      <c r="G150" s="71">
        <f t="shared" si="16"/>
        <v>18.92</v>
      </c>
      <c r="H150" s="79"/>
      <c r="I150" s="79"/>
      <c r="J150" s="79"/>
      <c r="K150" s="79"/>
      <c r="L150" s="79"/>
      <c r="M150" s="79"/>
      <c r="N150" s="79"/>
      <c r="O150" s="75">
        <v>405398</v>
      </c>
      <c r="P150" s="47">
        <v>4.32</v>
      </c>
      <c r="Q150" s="47"/>
    </row>
    <row r="151" s="3" customFormat="1" ht="19" customHeight="1" spans="1:17">
      <c r="A151" s="67">
        <v>18225</v>
      </c>
      <c r="B151" s="68" t="s">
        <v>143</v>
      </c>
      <c r="C151" s="70" t="s">
        <v>81</v>
      </c>
      <c r="D151" s="68">
        <v>13</v>
      </c>
      <c r="E151" s="70" t="s">
        <v>39</v>
      </c>
      <c r="F151" s="71">
        <v>8.68</v>
      </c>
      <c r="G151" s="71">
        <f t="shared" si="16"/>
        <v>112.84</v>
      </c>
      <c r="H151" s="80">
        <v>106</v>
      </c>
      <c r="I151" s="80">
        <v>25</v>
      </c>
      <c r="J151" s="80">
        <v>1</v>
      </c>
      <c r="K151" s="80">
        <v>23</v>
      </c>
      <c r="L151" s="80">
        <v>24</v>
      </c>
      <c r="M151" s="80">
        <f>L151*J151</f>
        <v>24</v>
      </c>
      <c r="N151" s="80" t="s">
        <v>129</v>
      </c>
      <c r="O151" s="75">
        <v>405398</v>
      </c>
      <c r="P151" s="47">
        <v>16.185</v>
      </c>
      <c r="Q151" s="47"/>
    </row>
    <row r="152" s="3" customFormat="1" ht="19" customHeight="1" spans="1:17">
      <c r="A152" s="67">
        <v>18718</v>
      </c>
      <c r="B152" s="68" t="s">
        <v>136</v>
      </c>
      <c r="C152" s="70" t="s">
        <v>81</v>
      </c>
      <c r="D152" s="68">
        <v>7</v>
      </c>
      <c r="E152" s="70" t="s">
        <v>39</v>
      </c>
      <c r="F152" s="71">
        <v>11.88</v>
      </c>
      <c r="G152" s="71">
        <f t="shared" si="16"/>
        <v>83.16</v>
      </c>
      <c r="H152" s="81"/>
      <c r="I152" s="81"/>
      <c r="J152" s="81"/>
      <c r="K152" s="81"/>
      <c r="L152" s="81"/>
      <c r="M152" s="81"/>
      <c r="N152" s="81"/>
      <c r="O152" s="75">
        <v>405398</v>
      </c>
      <c r="P152" s="47">
        <v>5.11</v>
      </c>
      <c r="Q152" s="47"/>
    </row>
    <row r="153" s="3" customFormat="1" ht="19" customHeight="1" spans="1:17">
      <c r="A153" s="67">
        <v>18806</v>
      </c>
      <c r="B153" s="68" t="s">
        <v>144</v>
      </c>
      <c r="C153" s="70" t="s">
        <v>81</v>
      </c>
      <c r="D153" s="68">
        <v>5</v>
      </c>
      <c r="E153" s="70" t="s">
        <v>39</v>
      </c>
      <c r="F153" s="71">
        <v>3.02</v>
      </c>
      <c r="G153" s="71">
        <f t="shared" si="16"/>
        <v>15.1</v>
      </c>
      <c r="H153" s="79"/>
      <c r="I153" s="79"/>
      <c r="J153" s="79"/>
      <c r="K153" s="79"/>
      <c r="L153" s="79"/>
      <c r="M153" s="79"/>
      <c r="N153" s="79"/>
      <c r="O153" s="75">
        <v>405398</v>
      </c>
      <c r="P153" s="47">
        <v>1.8</v>
      </c>
      <c r="Q153" s="47"/>
    </row>
    <row r="154" s="3" customFormat="1" ht="19" customHeight="1" spans="1:17">
      <c r="A154" s="67">
        <v>18700</v>
      </c>
      <c r="B154" s="68" t="s">
        <v>145</v>
      </c>
      <c r="C154" s="70" t="s">
        <v>81</v>
      </c>
      <c r="D154" s="68">
        <v>11</v>
      </c>
      <c r="E154" s="70" t="s">
        <v>39</v>
      </c>
      <c r="F154" s="71">
        <v>11.88</v>
      </c>
      <c r="G154" s="71">
        <f t="shared" si="16"/>
        <v>130.68</v>
      </c>
      <c r="H154" s="80">
        <v>106</v>
      </c>
      <c r="I154" s="80">
        <v>25</v>
      </c>
      <c r="J154" s="80">
        <v>1</v>
      </c>
      <c r="K154" s="80">
        <v>17.4</v>
      </c>
      <c r="L154" s="80">
        <v>18.4</v>
      </c>
      <c r="M154" s="80">
        <f>L154*J154</f>
        <v>18.4</v>
      </c>
      <c r="N154" s="80" t="s">
        <v>129</v>
      </c>
      <c r="O154" s="75">
        <v>405398</v>
      </c>
      <c r="P154" s="47">
        <v>6.3272</v>
      </c>
      <c r="Q154" s="47"/>
    </row>
    <row r="155" s="3" customFormat="1" ht="19" customHeight="1" spans="1:17">
      <c r="A155" s="67">
        <v>18829</v>
      </c>
      <c r="B155" s="68" t="s">
        <v>138</v>
      </c>
      <c r="C155" s="70" t="s">
        <v>81</v>
      </c>
      <c r="D155" s="68">
        <v>9</v>
      </c>
      <c r="E155" s="70" t="s">
        <v>39</v>
      </c>
      <c r="F155" s="71">
        <v>5.27</v>
      </c>
      <c r="G155" s="71">
        <f t="shared" si="16"/>
        <v>47.43</v>
      </c>
      <c r="H155" s="81"/>
      <c r="I155" s="81"/>
      <c r="J155" s="81"/>
      <c r="K155" s="81"/>
      <c r="L155" s="81"/>
      <c r="M155" s="81"/>
      <c r="N155" s="81"/>
      <c r="O155" s="75">
        <v>405398</v>
      </c>
      <c r="P155" s="47">
        <v>6.66</v>
      </c>
      <c r="Q155" s="47"/>
    </row>
    <row r="156" s="3" customFormat="1" ht="19" customHeight="1" spans="1:17">
      <c r="A156" s="67">
        <v>18949</v>
      </c>
      <c r="B156" s="68" t="s">
        <v>139</v>
      </c>
      <c r="C156" s="70" t="s">
        <v>81</v>
      </c>
      <c r="D156" s="68">
        <v>5</v>
      </c>
      <c r="E156" s="70" t="s">
        <v>39</v>
      </c>
      <c r="F156" s="71">
        <v>7.7</v>
      </c>
      <c r="G156" s="71">
        <f t="shared" si="16"/>
        <v>38.5</v>
      </c>
      <c r="H156" s="79"/>
      <c r="I156" s="79"/>
      <c r="J156" s="79"/>
      <c r="K156" s="79"/>
      <c r="L156" s="79"/>
      <c r="M156" s="79"/>
      <c r="N156" s="79"/>
      <c r="O156" s="75">
        <v>405398</v>
      </c>
      <c r="P156" s="47">
        <v>4.476</v>
      </c>
      <c r="Q156" s="47"/>
    </row>
    <row r="157" s="3" customFormat="1" ht="19" customHeight="1" spans="1:17">
      <c r="A157" s="67">
        <v>18472</v>
      </c>
      <c r="B157" s="68" t="s">
        <v>146</v>
      </c>
      <c r="C157" s="70" t="s">
        <v>81</v>
      </c>
      <c r="D157" s="68">
        <v>12</v>
      </c>
      <c r="E157" s="70" t="s">
        <v>39</v>
      </c>
      <c r="F157" s="71">
        <v>3.89</v>
      </c>
      <c r="G157" s="71">
        <f t="shared" si="16"/>
        <v>46.68</v>
      </c>
      <c r="H157" s="80">
        <v>106</v>
      </c>
      <c r="I157" s="80">
        <v>25</v>
      </c>
      <c r="J157" s="80">
        <v>1</v>
      </c>
      <c r="K157" s="80">
        <v>20</v>
      </c>
      <c r="L157" s="80">
        <v>21</v>
      </c>
      <c r="M157" s="80">
        <f>L157*J157</f>
        <v>21</v>
      </c>
      <c r="N157" s="80" t="s">
        <v>129</v>
      </c>
      <c r="O157" s="75">
        <v>405398</v>
      </c>
      <c r="P157" s="47">
        <v>8.5824</v>
      </c>
      <c r="Q157" s="47"/>
    </row>
    <row r="158" s="3" customFormat="1" ht="19" customHeight="1" spans="1:17">
      <c r="A158" s="67">
        <v>19781</v>
      </c>
      <c r="B158" s="68" t="s">
        <v>140</v>
      </c>
      <c r="C158" s="70" t="s">
        <v>81</v>
      </c>
      <c r="D158" s="68">
        <v>13</v>
      </c>
      <c r="E158" s="70" t="s">
        <v>39</v>
      </c>
      <c r="F158" s="71">
        <v>7.31</v>
      </c>
      <c r="G158" s="71">
        <f t="shared" si="16"/>
        <v>95.03</v>
      </c>
      <c r="H158" s="79"/>
      <c r="I158" s="79"/>
      <c r="J158" s="79"/>
      <c r="K158" s="79"/>
      <c r="L158" s="79"/>
      <c r="M158" s="79"/>
      <c r="N158" s="79"/>
      <c r="O158" s="75">
        <v>405398</v>
      </c>
      <c r="P158" s="47">
        <v>11.44</v>
      </c>
      <c r="Q158" s="47"/>
    </row>
    <row r="159" s="3" customFormat="1" ht="19" customHeight="1" spans="1:17">
      <c r="A159" s="67">
        <v>18705</v>
      </c>
      <c r="B159" s="68" t="s">
        <v>147</v>
      </c>
      <c r="C159" s="70" t="s">
        <v>81</v>
      </c>
      <c r="D159" s="68">
        <v>3</v>
      </c>
      <c r="E159" s="70" t="s">
        <v>39</v>
      </c>
      <c r="F159" s="71">
        <v>12.18</v>
      </c>
      <c r="G159" s="71">
        <f t="shared" ref="G159:G175" si="18">F159*D159</f>
        <v>36.54</v>
      </c>
      <c r="H159" s="80">
        <v>106</v>
      </c>
      <c r="I159" s="80">
        <v>25</v>
      </c>
      <c r="J159" s="80">
        <v>1</v>
      </c>
      <c r="K159" s="80">
        <v>17.06</v>
      </c>
      <c r="L159" s="80">
        <v>18.06</v>
      </c>
      <c r="M159" s="80">
        <f>L159*J159</f>
        <v>18.06</v>
      </c>
      <c r="N159" s="80" t="s">
        <v>129</v>
      </c>
      <c r="O159" s="75">
        <v>405398</v>
      </c>
      <c r="P159" s="47">
        <v>1.8</v>
      </c>
      <c r="Q159" s="47"/>
    </row>
    <row r="160" s="3" customFormat="1" ht="19" customHeight="1" spans="1:17">
      <c r="A160" s="67">
        <v>18469</v>
      </c>
      <c r="B160" s="68" t="s">
        <v>148</v>
      </c>
      <c r="C160" s="70" t="s">
        <v>81</v>
      </c>
      <c r="D160" s="68">
        <v>17</v>
      </c>
      <c r="E160" s="70" t="s">
        <v>39</v>
      </c>
      <c r="F160" s="71">
        <v>3.7</v>
      </c>
      <c r="G160" s="71">
        <f t="shared" si="18"/>
        <v>62.9</v>
      </c>
      <c r="H160" s="81"/>
      <c r="I160" s="81"/>
      <c r="J160" s="81"/>
      <c r="K160" s="81"/>
      <c r="L160" s="81"/>
      <c r="M160" s="81"/>
      <c r="N160" s="81"/>
      <c r="O160" s="75">
        <v>405398</v>
      </c>
      <c r="P160" s="47">
        <v>9.86</v>
      </c>
      <c r="Q160" s="47"/>
    </row>
    <row r="161" s="3" customFormat="1" ht="19" customHeight="1" spans="1:17">
      <c r="A161" s="67">
        <v>18589</v>
      </c>
      <c r="B161" s="68" t="s">
        <v>134</v>
      </c>
      <c r="C161" s="70" t="s">
        <v>81</v>
      </c>
      <c r="D161" s="68">
        <v>5</v>
      </c>
      <c r="E161" s="70" t="s">
        <v>39</v>
      </c>
      <c r="F161" s="71">
        <v>4.73</v>
      </c>
      <c r="G161" s="71">
        <f t="shared" si="18"/>
        <v>23.65</v>
      </c>
      <c r="H161" s="79"/>
      <c r="I161" s="79"/>
      <c r="J161" s="79"/>
      <c r="K161" s="79"/>
      <c r="L161" s="79"/>
      <c r="M161" s="79"/>
      <c r="N161" s="79"/>
      <c r="O161" s="75">
        <v>405398</v>
      </c>
      <c r="P161" s="47">
        <v>5.4</v>
      </c>
      <c r="Q161" s="47"/>
    </row>
    <row r="162" s="3" customFormat="1" ht="19" customHeight="1" spans="1:17">
      <c r="A162" s="67">
        <v>18841</v>
      </c>
      <c r="B162" s="68" t="s">
        <v>149</v>
      </c>
      <c r="C162" s="70" t="s">
        <v>81</v>
      </c>
      <c r="D162" s="68">
        <v>14</v>
      </c>
      <c r="E162" s="70" t="s">
        <v>39</v>
      </c>
      <c r="F162" s="71">
        <v>5.78</v>
      </c>
      <c r="G162" s="71">
        <f t="shared" si="18"/>
        <v>80.92</v>
      </c>
      <c r="H162" s="80">
        <v>106</v>
      </c>
      <c r="I162" s="80">
        <v>25</v>
      </c>
      <c r="J162" s="80">
        <v>1</v>
      </c>
      <c r="K162" s="80">
        <v>17.3</v>
      </c>
      <c r="L162" s="80">
        <v>18.3</v>
      </c>
      <c r="M162" s="80">
        <f>L162*J162</f>
        <v>18.3</v>
      </c>
      <c r="N162" s="80" t="s">
        <v>129</v>
      </c>
      <c r="O162" s="75">
        <v>405398</v>
      </c>
      <c r="P162" s="47">
        <v>10.36</v>
      </c>
      <c r="Q162" s="47"/>
    </row>
    <row r="163" s="3" customFormat="1" ht="19" customHeight="1" spans="1:17">
      <c r="A163" s="67">
        <v>18703</v>
      </c>
      <c r="B163" s="68" t="s">
        <v>150</v>
      </c>
      <c r="C163" s="70" t="s">
        <v>81</v>
      </c>
      <c r="D163" s="68">
        <v>5</v>
      </c>
      <c r="E163" s="70" t="s">
        <v>39</v>
      </c>
      <c r="F163" s="71">
        <v>12.1</v>
      </c>
      <c r="G163" s="71">
        <f t="shared" si="18"/>
        <v>60.5</v>
      </c>
      <c r="H163" s="81"/>
      <c r="I163" s="81"/>
      <c r="J163" s="81"/>
      <c r="K163" s="81"/>
      <c r="L163" s="81"/>
      <c r="M163" s="81"/>
      <c r="N163" s="81"/>
      <c r="O163" s="75">
        <v>405398</v>
      </c>
      <c r="P163" s="47">
        <v>2.6</v>
      </c>
      <c r="Q163" s="47"/>
    </row>
    <row r="164" s="3" customFormat="1" ht="19" customHeight="1" spans="1:17">
      <c r="A164" s="67">
        <v>19563</v>
      </c>
      <c r="B164" s="68" t="s">
        <v>151</v>
      </c>
      <c r="C164" s="70" t="s">
        <v>81</v>
      </c>
      <c r="D164" s="68">
        <v>6</v>
      </c>
      <c r="E164" s="70" t="s">
        <v>39</v>
      </c>
      <c r="F164" s="71">
        <v>6.45</v>
      </c>
      <c r="G164" s="71">
        <f t="shared" si="18"/>
        <v>38.7</v>
      </c>
      <c r="H164" s="79"/>
      <c r="I164" s="79"/>
      <c r="J164" s="79"/>
      <c r="K164" s="79"/>
      <c r="L164" s="79"/>
      <c r="M164" s="79"/>
      <c r="N164" s="79"/>
      <c r="O164" s="75">
        <v>405398</v>
      </c>
      <c r="P164" s="47">
        <v>4.272</v>
      </c>
      <c r="Q164" s="47"/>
    </row>
    <row r="165" s="3" customFormat="1" ht="19" customHeight="1" spans="1:17">
      <c r="A165" s="67">
        <v>18297</v>
      </c>
      <c r="B165" s="68" t="s">
        <v>152</v>
      </c>
      <c r="C165" s="70" t="s">
        <v>81</v>
      </c>
      <c r="D165" s="68">
        <v>5</v>
      </c>
      <c r="E165" s="70" t="s">
        <v>39</v>
      </c>
      <c r="F165" s="71">
        <v>4.09</v>
      </c>
      <c r="G165" s="71">
        <f t="shared" si="18"/>
        <v>20.45</v>
      </c>
      <c r="H165" s="81">
        <v>106</v>
      </c>
      <c r="I165" s="81">
        <v>10</v>
      </c>
      <c r="J165" s="81">
        <v>1</v>
      </c>
      <c r="K165" s="81">
        <v>7.02</v>
      </c>
      <c r="L165" s="81">
        <v>8.02</v>
      </c>
      <c r="M165" s="81">
        <f>L165*J165</f>
        <v>8.02</v>
      </c>
      <c r="N165" s="81" t="s">
        <v>131</v>
      </c>
      <c r="O165" s="75">
        <v>405398</v>
      </c>
      <c r="P165" s="47">
        <v>3.176</v>
      </c>
      <c r="Q165" s="47"/>
    </row>
    <row r="166" s="3" customFormat="1" ht="19" customHeight="1" spans="1:17">
      <c r="A166" s="67">
        <v>18586</v>
      </c>
      <c r="B166" s="68" t="s">
        <v>133</v>
      </c>
      <c r="C166" s="70" t="s">
        <v>81</v>
      </c>
      <c r="D166" s="68">
        <v>5</v>
      </c>
      <c r="E166" s="70" t="s">
        <v>39</v>
      </c>
      <c r="F166" s="71">
        <v>5.33</v>
      </c>
      <c r="G166" s="71">
        <f t="shared" si="18"/>
        <v>26.65</v>
      </c>
      <c r="H166" s="79"/>
      <c r="I166" s="79"/>
      <c r="J166" s="79"/>
      <c r="K166" s="79"/>
      <c r="L166" s="79"/>
      <c r="M166" s="79"/>
      <c r="N166" s="79"/>
      <c r="O166" s="75">
        <v>405398</v>
      </c>
      <c r="P166" s="47">
        <v>3.85</v>
      </c>
      <c r="Q166" s="47"/>
    </row>
    <row r="167" s="3" customFormat="1" ht="19" customHeight="1" spans="1:17">
      <c r="A167" s="67">
        <v>18714</v>
      </c>
      <c r="B167" s="68" t="s">
        <v>153</v>
      </c>
      <c r="C167" s="70" t="s">
        <v>81</v>
      </c>
      <c r="D167" s="68">
        <v>1</v>
      </c>
      <c r="E167" s="70" t="s">
        <v>39</v>
      </c>
      <c r="F167" s="71">
        <v>12.76</v>
      </c>
      <c r="G167" s="71">
        <f t="shared" si="18"/>
        <v>12.76</v>
      </c>
      <c r="H167" s="68">
        <v>106</v>
      </c>
      <c r="I167" s="68">
        <v>25</v>
      </c>
      <c r="J167" s="68">
        <v>1</v>
      </c>
      <c r="K167" s="68">
        <v>19.7</v>
      </c>
      <c r="L167" s="68">
        <v>20.7</v>
      </c>
      <c r="M167" s="68">
        <f>L167*J167</f>
        <v>20.7</v>
      </c>
      <c r="N167" s="68" t="s">
        <v>129</v>
      </c>
      <c r="O167" s="75">
        <v>405398</v>
      </c>
      <c r="P167" s="47">
        <v>0.72</v>
      </c>
      <c r="Q167" s="47"/>
    </row>
    <row r="168" s="3" customFormat="1" ht="19" customHeight="1" spans="1:17">
      <c r="A168" s="67">
        <v>18719</v>
      </c>
      <c r="B168" s="68" t="s">
        <v>154</v>
      </c>
      <c r="C168" s="70" t="s">
        <v>81</v>
      </c>
      <c r="D168" s="68">
        <v>1</v>
      </c>
      <c r="E168" s="70" t="s">
        <v>39</v>
      </c>
      <c r="F168" s="71">
        <v>12.95</v>
      </c>
      <c r="G168" s="71">
        <f t="shared" si="18"/>
        <v>12.95</v>
      </c>
      <c r="H168" s="68"/>
      <c r="I168" s="68"/>
      <c r="J168" s="68"/>
      <c r="K168" s="68"/>
      <c r="L168" s="68"/>
      <c r="M168" s="68"/>
      <c r="N168" s="68"/>
      <c r="O168" s="75">
        <v>405398</v>
      </c>
      <c r="P168" s="47">
        <v>0.6752</v>
      </c>
      <c r="Q168" s="47"/>
    </row>
    <row r="169" s="3" customFormat="1" ht="19" customHeight="1" spans="1:17">
      <c r="A169" s="67">
        <v>18561</v>
      </c>
      <c r="B169" s="68" t="s">
        <v>132</v>
      </c>
      <c r="C169" s="70" t="s">
        <v>81</v>
      </c>
      <c r="D169" s="68">
        <v>16</v>
      </c>
      <c r="E169" s="70" t="s">
        <v>39</v>
      </c>
      <c r="F169" s="71">
        <v>5.63</v>
      </c>
      <c r="G169" s="71">
        <f t="shared" si="18"/>
        <v>90.08</v>
      </c>
      <c r="H169" s="68"/>
      <c r="I169" s="68"/>
      <c r="J169" s="68"/>
      <c r="K169" s="68"/>
      <c r="L169" s="68"/>
      <c r="M169" s="68"/>
      <c r="N169" s="68"/>
      <c r="O169" s="75">
        <v>405398</v>
      </c>
      <c r="P169" s="47">
        <v>13.28</v>
      </c>
      <c r="Q169" s="47"/>
    </row>
    <row r="170" s="3" customFormat="1" ht="19" customHeight="1" spans="1:17">
      <c r="A170" s="67">
        <v>18293</v>
      </c>
      <c r="B170" s="68" t="s">
        <v>155</v>
      </c>
      <c r="C170" s="70" t="s">
        <v>81</v>
      </c>
      <c r="D170" s="68">
        <v>5</v>
      </c>
      <c r="E170" s="70" t="s">
        <v>39</v>
      </c>
      <c r="F170" s="71">
        <v>3.67</v>
      </c>
      <c r="G170" s="71">
        <f t="shared" si="18"/>
        <v>18.35</v>
      </c>
      <c r="H170" s="68"/>
      <c r="I170" s="68"/>
      <c r="J170" s="68"/>
      <c r="K170" s="68"/>
      <c r="L170" s="68"/>
      <c r="M170" s="68"/>
      <c r="N170" s="68"/>
      <c r="O170" s="75">
        <v>405398</v>
      </c>
      <c r="P170" s="47">
        <v>2.9</v>
      </c>
      <c r="Q170" s="47"/>
    </row>
    <row r="171" s="3" customFormat="1" ht="19" customHeight="1" spans="1:17">
      <c r="A171" s="67">
        <v>18043</v>
      </c>
      <c r="B171" s="68" t="s">
        <v>156</v>
      </c>
      <c r="C171" s="70" t="s">
        <v>81</v>
      </c>
      <c r="D171" s="68">
        <v>2</v>
      </c>
      <c r="E171" s="70" t="s">
        <v>39</v>
      </c>
      <c r="F171" s="71">
        <v>9.07</v>
      </c>
      <c r="G171" s="71">
        <f t="shared" si="18"/>
        <v>18.14</v>
      </c>
      <c r="H171" s="103"/>
      <c r="I171" s="103"/>
      <c r="J171" s="103"/>
      <c r="K171" s="103"/>
      <c r="L171" s="103"/>
      <c r="M171" s="103"/>
      <c r="N171" s="103"/>
      <c r="O171" s="75">
        <v>405398</v>
      </c>
      <c r="P171" s="47">
        <v>2.1496</v>
      </c>
      <c r="Q171" s="47"/>
    </row>
    <row r="172" s="3" customFormat="1" ht="19" customHeight="1" spans="1:17">
      <c r="A172" s="67">
        <v>18642</v>
      </c>
      <c r="B172" s="68" t="s">
        <v>157</v>
      </c>
      <c r="C172" s="70" t="s">
        <v>81</v>
      </c>
      <c r="D172" s="68">
        <v>11</v>
      </c>
      <c r="E172" s="70" t="s">
        <v>39</v>
      </c>
      <c r="F172" s="71">
        <v>5.18</v>
      </c>
      <c r="G172" s="71">
        <f t="shared" si="18"/>
        <v>56.98</v>
      </c>
      <c r="H172" s="80">
        <v>106</v>
      </c>
      <c r="I172" s="80">
        <v>24</v>
      </c>
      <c r="J172" s="80">
        <v>1</v>
      </c>
      <c r="K172" s="80">
        <v>21.7</v>
      </c>
      <c r="L172" s="80">
        <v>22.7</v>
      </c>
      <c r="M172" s="80">
        <f>L172*J172</f>
        <v>22.7</v>
      </c>
      <c r="N172" s="80" t="s">
        <v>129</v>
      </c>
      <c r="O172" s="75">
        <v>405398</v>
      </c>
      <c r="P172" s="47">
        <v>9.79</v>
      </c>
      <c r="Q172" s="47"/>
    </row>
    <row r="173" s="3" customFormat="1" ht="19" customHeight="1" spans="1:17">
      <c r="A173" s="67">
        <v>18709</v>
      </c>
      <c r="B173" s="68" t="s">
        <v>158</v>
      </c>
      <c r="C173" s="70" t="s">
        <v>81</v>
      </c>
      <c r="D173" s="68">
        <v>1</v>
      </c>
      <c r="E173" s="70" t="s">
        <v>39</v>
      </c>
      <c r="F173" s="71">
        <v>12.42</v>
      </c>
      <c r="G173" s="71">
        <f t="shared" si="18"/>
        <v>12.42</v>
      </c>
      <c r="H173" s="81"/>
      <c r="I173" s="81"/>
      <c r="J173" s="81"/>
      <c r="K173" s="81"/>
      <c r="L173" s="81"/>
      <c r="M173" s="81"/>
      <c r="N173" s="81"/>
      <c r="O173" s="75">
        <v>405398</v>
      </c>
      <c r="P173" s="47">
        <v>0.7252</v>
      </c>
      <c r="Q173" s="47"/>
    </row>
    <row r="174" s="3" customFormat="1" ht="19" customHeight="1" spans="1:17">
      <c r="A174" s="67">
        <v>18012</v>
      </c>
      <c r="B174" s="68" t="s">
        <v>159</v>
      </c>
      <c r="C174" s="70" t="s">
        <v>81</v>
      </c>
      <c r="D174" s="68">
        <v>1</v>
      </c>
      <c r="E174" s="70" t="s">
        <v>39</v>
      </c>
      <c r="F174" s="71">
        <v>8.76</v>
      </c>
      <c r="G174" s="71">
        <f t="shared" si="18"/>
        <v>8.76</v>
      </c>
      <c r="H174" s="81"/>
      <c r="I174" s="81"/>
      <c r="J174" s="81"/>
      <c r="K174" s="81"/>
      <c r="L174" s="81"/>
      <c r="M174" s="81"/>
      <c r="N174" s="81"/>
      <c r="O174" s="75">
        <v>405398</v>
      </c>
      <c r="P174" s="47">
        <v>1.15</v>
      </c>
      <c r="Q174" s="47"/>
    </row>
    <row r="175" s="3" customFormat="1" ht="19" customHeight="1" spans="1:17">
      <c r="A175" s="67">
        <v>18425</v>
      </c>
      <c r="B175" s="68" t="s">
        <v>160</v>
      </c>
      <c r="C175" s="70" t="s">
        <v>81</v>
      </c>
      <c r="D175" s="68">
        <v>1</v>
      </c>
      <c r="E175" s="70" t="s">
        <v>39</v>
      </c>
      <c r="F175" s="71">
        <v>4</v>
      </c>
      <c r="G175" s="71">
        <f t="shared" si="18"/>
        <v>4</v>
      </c>
      <c r="H175" s="81"/>
      <c r="I175" s="81"/>
      <c r="J175" s="81"/>
      <c r="K175" s="81"/>
      <c r="L175" s="81"/>
      <c r="M175" s="81"/>
      <c r="N175" s="81"/>
      <c r="O175" s="75">
        <v>405398</v>
      </c>
      <c r="P175" s="47">
        <v>0.58</v>
      </c>
      <c r="Q175" s="47"/>
    </row>
    <row r="176" s="3" customFormat="1" ht="19" customHeight="1" spans="1:17">
      <c r="A176" s="67">
        <v>18683</v>
      </c>
      <c r="B176" s="68" t="s">
        <v>161</v>
      </c>
      <c r="C176" s="70" t="s">
        <v>81</v>
      </c>
      <c r="D176" s="68">
        <v>10</v>
      </c>
      <c r="E176" s="70" t="s">
        <v>39</v>
      </c>
      <c r="F176" s="71">
        <v>5.24</v>
      </c>
      <c r="G176" s="71">
        <f t="shared" ref="G176:G190" si="19">F176*D176</f>
        <v>52.4</v>
      </c>
      <c r="H176" s="79"/>
      <c r="I176" s="79"/>
      <c r="J176" s="79"/>
      <c r="K176" s="79"/>
      <c r="L176" s="79"/>
      <c r="M176" s="79"/>
      <c r="N176" s="79"/>
      <c r="O176" s="75">
        <v>405398</v>
      </c>
      <c r="P176" s="47">
        <v>9.5</v>
      </c>
      <c r="Q176" s="47"/>
    </row>
    <row r="177" s="3" customFormat="1" ht="19" customHeight="1" spans="1:17">
      <c r="A177" s="67">
        <v>18451</v>
      </c>
      <c r="B177" s="68" t="s">
        <v>162</v>
      </c>
      <c r="C177" s="70" t="s">
        <v>81</v>
      </c>
      <c r="D177" s="68">
        <v>11</v>
      </c>
      <c r="E177" s="70" t="s">
        <v>39</v>
      </c>
      <c r="F177" s="71">
        <v>4.08</v>
      </c>
      <c r="G177" s="71">
        <f t="shared" si="19"/>
        <v>44.88</v>
      </c>
      <c r="H177" s="80">
        <v>106</v>
      </c>
      <c r="I177" s="80">
        <v>25</v>
      </c>
      <c r="J177" s="80">
        <v>1</v>
      </c>
      <c r="K177" s="80">
        <v>22.3</v>
      </c>
      <c r="L177" s="80">
        <v>23.3</v>
      </c>
      <c r="M177" s="80">
        <f>L177*J177</f>
        <v>23.3</v>
      </c>
      <c r="N177" s="80" t="s">
        <v>129</v>
      </c>
      <c r="O177" s="75">
        <v>405398</v>
      </c>
      <c r="P177" s="47">
        <v>6.336</v>
      </c>
      <c r="Q177" s="47"/>
    </row>
    <row r="178" s="3" customFormat="1" ht="19" customHeight="1" spans="1:17">
      <c r="A178" s="67">
        <v>18559</v>
      </c>
      <c r="B178" s="68" t="s">
        <v>130</v>
      </c>
      <c r="C178" s="70" t="s">
        <v>81</v>
      </c>
      <c r="D178" s="68">
        <v>14</v>
      </c>
      <c r="E178" s="70" t="s">
        <v>39</v>
      </c>
      <c r="F178" s="71">
        <v>8.7</v>
      </c>
      <c r="G178" s="71">
        <f t="shared" si="19"/>
        <v>121.8</v>
      </c>
      <c r="H178" s="79"/>
      <c r="I178" s="79"/>
      <c r="J178" s="79"/>
      <c r="K178" s="79"/>
      <c r="L178" s="79"/>
      <c r="M178" s="79"/>
      <c r="N178" s="79"/>
      <c r="O178" s="75">
        <v>405398</v>
      </c>
      <c r="P178" s="47">
        <v>15.96</v>
      </c>
      <c r="Q178" s="47"/>
    </row>
    <row r="179" s="3" customFormat="1" ht="19" customHeight="1" spans="1:17">
      <c r="A179" s="67">
        <v>18106</v>
      </c>
      <c r="B179" s="68" t="s">
        <v>128</v>
      </c>
      <c r="C179" s="70" t="s">
        <v>81</v>
      </c>
      <c r="D179" s="68">
        <v>18</v>
      </c>
      <c r="E179" s="70" t="s">
        <v>39</v>
      </c>
      <c r="F179" s="71">
        <v>8.41</v>
      </c>
      <c r="G179" s="71">
        <f t="shared" si="19"/>
        <v>151.38</v>
      </c>
      <c r="H179" s="80">
        <v>106</v>
      </c>
      <c r="I179" s="80">
        <v>25</v>
      </c>
      <c r="J179" s="80">
        <v>1</v>
      </c>
      <c r="K179" s="80">
        <v>22.2</v>
      </c>
      <c r="L179" s="80">
        <v>23.2</v>
      </c>
      <c r="M179" s="80">
        <f>L179*J179</f>
        <v>23.2</v>
      </c>
      <c r="N179" s="80" t="s">
        <v>129</v>
      </c>
      <c r="O179" s="75">
        <v>405398</v>
      </c>
      <c r="P179" s="47">
        <v>17.3664</v>
      </c>
      <c r="Q179" s="47"/>
    </row>
    <row r="180" s="3" customFormat="1" ht="19" customHeight="1" spans="1:17">
      <c r="A180" s="67">
        <v>18452</v>
      </c>
      <c r="B180" s="68" t="s">
        <v>163</v>
      </c>
      <c r="C180" s="70" t="s">
        <v>81</v>
      </c>
      <c r="D180" s="68">
        <v>7</v>
      </c>
      <c r="E180" s="70" t="s">
        <v>39</v>
      </c>
      <c r="F180" s="71">
        <v>3.89</v>
      </c>
      <c r="G180" s="71">
        <f t="shared" si="19"/>
        <v>27.23</v>
      </c>
      <c r="H180" s="79"/>
      <c r="I180" s="79"/>
      <c r="J180" s="79"/>
      <c r="K180" s="79"/>
      <c r="L180" s="79"/>
      <c r="M180" s="79"/>
      <c r="N180" s="79"/>
      <c r="O180" s="75">
        <v>405398</v>
      </c>
      <c r="P180" s="47">
        <v>4.83</v>
      </c>
      <c r="Q180" s="47"/>
    </row>
    <row r="181" s="3" customFormat="1" ht="19" customHeight="1" spans="1:17">
      <c r="A181" s="67">
        <v>18294</v>
      </c>
      <c r="B181" s="68" t="s">
        <v>164</v>
      </c>
      <c r="C181" s="70" t="s">
        <v>81</v>
      </c>
      <c r="D181" s="68">
        <v>18</v>
      </c>
      <c r="E181" s="70" t="s">
        <v>39</v>
      </c>
      <c r="F181" s="71">
        <v>3.78</v>
      </c>
      <c r="G181" s="71">
        <f t="shared" si="19"/>
        <v>68.04</v>
      </c>
      <c r="H181" s="80">
        <v>106</v>
      </c>
      <c r="I181" s="80">
        <v>25</v>
      </c>
      <c r="J181" s="80">
        <v>1</v>
      </c>
      <c r="K181" s="80">
        <v>14.7</v>
      </c>
      <c r="L181" s="80">
        <v>15.7</v>
      </c>
      <c r="M181" s="80">
        <f>L181*J181</f>
        <v>15.7</v>
      </c>
      <c r="N181" s="80" t="s">
        <v>129</v>
      </c>
      <c r="O181" s="75">
        <v>405398</v>
      </c>
      <c r="P181" s="47">
        <v>10.44</v>
      </c>
      <c r="Q181" s="47"/>
    </row>
    <row r="182" s="3" customFormat="1" ht="19" customHeight="1" spans="1:17">
      <c r="A182" s="67">
        <v>18417</v>
      </c>
      <c r="B182" s="68" t="s">
        <v>165</v>
      </c>
      <c r="C182" s="70" t="s">
        <v>81</v>
      </c>
      <c r="D182" s="68">
        <v>7</v>
      </c>
      <c r="E182" s="70" t="s">
        <v>39</v>
      </c>
      <c r="F182" s="71">
        <v>3.89</v>
      </c>
      <c r="G182" s="71">
        <f t="shared" si="19"/>
        <v>27.23</v>
      </c>
      <c r="H182" s="79"/>
      <c r="I182" s="79"/>
      <c r="J182" s="79"/>
      <c r="K182" s="79"/>
      <c r="L182" s="79"/>
      <c r="M182" s="79"/>
      <c r="N182" s="79"/>
      <c r="O182" s="75">
        <v>405398</v>
      </c>
      <c r="P182" s="47">
        <v>4.3064</v>
      </c>
      <c r="Q182" s="47"/>
    </row>
    <row r="183" s="3" customFormat="1" ht="19" customHeight="1" spans="1:17">
      <c r="A183" s="67">
        <v>18700</v>
      </c>
      <c r="B183" s="68" t="s">
        <v>145</v>
      </c>
      <c r="C183" s="69" t="s">
        <v>81</v>
      </c>
      <c r="D183" s="68">
        <v>1</v>
      </c>
      <c r="E183" s="69" t="s">
        <v>39</v>
      </c>
      <c r="F183" s="76">
        <v>11.88</v>
      </c>
      <c r="G183" s="88">
        <f t="shared" si="19"/>
        <v>11.88</v>
      </c>
      <c r="H183" s="68">
        <v>106</v>
      </c>
      <c r="I183" s="81">
        <v>24</v>
      </c>
      <c r="J183" s="81">
        <v>1</v>
      </c>
      <c r="K183" s="81">
        <v>15</v>
      </c>
      <c r="L183" s="81">
        <v>16</v>
      </c>
      <c r="M183" s="81">
        <f>L183*J183</f>
        <v>16</v>
      </c>
      <c r="N183" s="81" t="s">
        <v>129</v>
      </c>
      <c r="O183" s="23">
        <v>420867</v>
      </c>
      <c r="P183" s="47">
        <v>0.58</v>
      </c>
      <c r="Q183" s="47"/>
    </row>
    <row r="184" s="3" customFormat="1" ht="19" customHeight="1" spans="1:17">
      <c r="A184" s="67">
        <v>18417</v>
      </c>
      <c r="B184" s="68" t="s">
        <v>165</v>
      </c>
      <c r="C184" s="69" t="s">
        <v>81</v>
      </c>
      <c r="D184" s="68">
        <v>6</v>
      </c>
      <c r="E184" s="69" t="s">
        <v>39</v>
      </c>
      <c r="F184" s="76">
        <v>3.89</v>
      </c>
      <c r="G184" s="88">
        <f t="shared" si="19"/>
        <v>23.34</v>
      </c>
      <c r="H184" s="68"/>
      <c r="I184" s="81"/>
      <c r="J184" s="81"/>
      <c r="K184" s="81"/>
      <c r="L184" s="81"/>
      <c r="M184" s="81"/>
      <c r="N184" s="81"/>
      <c r="O184" s="23">
        <v>420867</v>
      </c>
      <c r="P184" s="47">
        <v>3.69</v>
      </c>
      <c r="Q184" s="47"/>
    </row>
    <row r="185" s="3" customFormat="1" ht="19" customHeight="1" spans="1:17">
      <c r="A185" s="67">
        <v>19564</v>
      </c>
      <c r="B185" s="68" t="s">
        <v>142</v>
      </c>
      <c r="C185" s="69" t="s">
        <v>81</v>
      </c>
      <c r="D185" s="68">
        <v>8</v>
      </c>
      <c r="E185" s="69" t="s">
        <v>39</v>
      </c>
      <c r="F185" s="76">
        <v>4</v>
      </c>
      <c r="G185" s="88">
        <f t="shared" si="19"/>
        <v>32</v>
      </c>
      <c r="H185" s="68"/>
      <c r="I185" s="81"/>
      <c r="J185" s="81"/>
      <c r="K185" s="81"/>
      <c r="L185" s="81"/>
      <c r="M185" s="81"/>
      <c r="N185" s="81"/>
      <c r="O185" s="23">
        <v>420867</v>
      </c>
      <c r="P185" s="47">
        <v>4.61</v>
      </c>
      <c r="Q185" s="47"/>
    </row>
    <row r="186" s="3" customFormat="1" ht="19" customHeight="1" spans="1:17">
      <c r="A186" s="67">
        <v>18783</v>
      </c>
      <c r="B186" s="68" t="s">
        <v>137</v>
      </c>
      <c r="C186" s="69" t="s">
        <v>81</v>
      </c>
      <c r="D186" s="68">
        <v>9</v>
      </c>
      <c r="E186" s="69" t="s">
        <v>39</v>
      </c>
      <c r="F186" s="76">
        <v>3.47</v>
      </c>
      <c r="G186" s="88">
        <f t="shared" si="19"/>
        <v>31.23</v>
      </c>
      <c r="H186" s="68"/>
      <c r="I186" s="81"/>
      <c r="J186" s="81"/>
      <c r="K186" s="81"/>
      <c r="L186" s="81"/>
      <c r="M186" s="81"/>
      <c r="N186" s="81"/>
      <c r="O186" s="23">
        <v>420867</v>
      </c>
      <c r="P186" s="47">
        <v>5.09</v>
      </c>
      <c r="Q186" s="47"/>
    </row>
    <row r="187" s="3" customFormat="1" ht="19" customHeight="1" spans="1:17">
      <c r="A187" s="67">
        <v>18648</v>
      </c>
      <c r="B187" s="68" t="s">
        <v>135</v>
      </c>
      <c r="C187" s="70" t="s">
        <v>81</v>
      </c>
      <c r="D187" s="68">
        <v>1</v>
      </c>
      <c r="E187" s="70" t="s">
        <v>39</v>
      </c>
      <c r="F187" s="71">
        <v>8.55</v>
      </c>
      <c r="G187" s="71">
        <f t="shared" si="19"/>
        <v>8.55</v>
      </c>
      <c r="H187" s="68"/>
      <c r="I187" s="79"/>
      <c r="J187" s="79"/>
      <c r="K187" s="79"/>
      <c r="L187" s="79"/>
      <c r="M187" s="79"/>
      <c r="N187" s="79"/>
      <c r="O187" s="75">
        <v>405398</v>
      </c>
      <c r="P187" s="47">
        <v>1.0448</v>
      </c>
      <c r="Q187" s="47"/>
    </row>
    <row r="188" s="3" customFormat="1" ht="19" customHeight="1" spans="1:17">
      <c r="A188" s="104">
        <v>18052</v>
      </c>
      <c r="B188" s="68" t="s">
        <v>166</v>
      </c>
      <c r="C188" s="70" t="s">
        <v>81</v>
      </c>
      <c r="D188" s="68">
        <v>1</v>
      </c>
      <c r="E188" s="69" t="s">
        <v>39</v>
      </c>
      <c r="F188" s="105">
        <v>3.39</v>
      </c>
      <c r="G188" s="77">
        <f t="shared" si="19"/>
        <v>3.39</v>
      </c>
      <c r="H188" s="68">
        <v>105</v>
      </c>
      <c r="I188" s="68">
        <v>23</v>
      </c>
      <c r="J188" s="68">
        <v>1</v>
      </c>
      <c r="K188" s="68">
        <v>11.4</v>
      </c>
      <c r="L188" s="68">
        <v>12.4</v>
      </c>
      <c r="M188" s="68">
        <f>L188*J188</f>
        <v>12.4</v>
      </c>
      <c r="N188" s="68" t="s">
        <v>129</v>
      </c>
      <c r="O188" s="75">
        <v>405398</v>
      </c>
      <c r="P188" s="47">
        <v>0.6492</v>
      </c>
      <c r="Q188" s="47"/>
    </row>
    <row r="189" s="3" customFormat="1" ht="19" customHeight="1" spans="1:17">
      <c r="A189" s="104">
        <v>19510</v>
      </c>
      <c r="B189" s="68" t="s">
        <v>167</v>
      </c>
      <c r="C189" s="70" t="s">
        <v>81</v>
      </c>
      <c r="D189" s="68">
        <v>14</v>
      </c>
      <c r="E189" s="69" t="s">
        <v>39</v>
      </c>
      <c r="F189" s="105">
        <v>3.3</v>
      </c>
      <c r="G189" s="77">
        <f t="shared" si="19"/>
        <v>46.2</v>
      </c>
      <c r="H189" s="68">
        <v>106</v>
      </c>
      <c r="I189" s="68"/>
      <c r="J189" s="68"/>
      <c r="K189" s="68"/>
      <c r="L189" s="68"/>
      <c r="M189" s="68"/>
      <c r="N189" s="68"/>
      <c r="O189" s="75">
        <v>405398</v>
      </c>
      <c r="P189" s="47">
        <v>4.8328</v>
      </c>
      <c r="Q189" s="47"/>
    </row>
    <row r="190" s="3" customFormat="1" ht="19" customHeight="1" spans="1:17">
      <c r="A190" s="104">
        <v>18957</v>
      </c>
      <c r="B190" s="68" t="s">
        <v>168</v>
      </c>
      <c r="C190" s="70" t="s">
        <v>81</v>
      </c>
      <c r="D190" s="68">
        <v>8</v>
      </c>
      <c r="E190" s="69" t="s">
        <v>39</v>
      </c>
      <c r="F190" s="105">
        <v>6.31</v>
      </c>
      <c r="G190" s="77">
        <f t="shared" si="19"/>
        <v>50.48</v>
      </c>
      <c r="H190" s="68">
        <v>106</v>
      </c>
      <c r="I190" s="68"/>
      <c r="J190" s="68"/>
      <c r="K190" s="68"/>
      <c r="L190" s="68"/>
      <c r="M190" s="68"/>
      <c r="N190" s="68"/>
      <c r="O190" s="75">
        <v>405398</v>
      </c>
      <c r="P190" s="47">
        <v>5.92</v>
      </c>
      <c r="Q190" s="47"/>
    </row>
    <row r="191" s="3" customFormat="1" ht="19" customHeight="1" spans="1:17">
      <c r="A191" s="67"/>
      <c r="B191" s="68"/>
      <c r="C191" s="70">
        <v>2265</v>
      </c>
      <c r="D191" s="68"/>
      <c r="E191" s="70"/>
      <c r="F191" s="71"/>
      <c r="G191" s="71"/>
      <c r="H191" s="68"/>
      <c r="I191" s="68"/>
      <c r="J191" s="68"/>
      <c r="K191" s="68"/>
      <c r="L191" s="68"/>
      <c r="M191" s="68"/>
      <c r="N191" s="68"/>
      <c r="O191" s="75"/>
      <c r="P191" s="47"/>
      <c r="Q191" s="47"/>
    </row>
    <row r="192" s="3" customFormat="1" ht="19" customHeight="1" spans="1:17">
      <c r="A192" s="67">
        <v>18187</v>
      </c>
      <c r="B192" s="68" t="s">
        <v>169</v>
      </c>
      <c r="C192" s="70" t="s">
        <v>81</v>
      </c>
      <c r="D192" s="68">
        <v>60</v>
      </c>
      <c r="E192" s="70" t="s">
        <v>39</v>
      </c>
      <c r="F192" s="71">
        <v>9.52</v>
      </c>
      <c r="G192" s="71">
        <f>F192*D192</f>
        <v>571.2</v>
      </c>
      <c r="H192" s="68">
        <v>107</v>
      </c>
      <c r="I192" s="68">
        <v>15</v>
      </c>
      <c r="J192" s="68">
        <f>D192/I192</f>
        <v>4</v>
      </c>
      <c r="K192" s="68">
        <v>21</v>
      </c>
      <c r="L192" s="68">
        <v>22.3</v>
      </c>
      <c r="M192" s="68">
        <f>L192*J192</f>
        <v>89.2</v>
      </c>
      <c r="N192" s="68" t="s">
        <v>170</v>
      </c>
      <c r="O192" s="75">
        <v>405398</v>
      </c>
      <c r="P192" s="47"/>
      <c r="Q192" s="47"/>
    </row>
    <row r="193" s="3" customFormat="1" ht="19" customHeight="1" spans="1:17">
      <c r="A193" s="67">
        <v>19617</v>
      </c>
      <c r="B193" s="68" t="s">
        <v>171</v>
      </c>
      <c r="C193" s="70" t="s">
        <v>81</v>
      </c>
      <c r="D193" s="68">
        <v>20</v>
      </c>
      <c r="E193" s="70" t="s">
        <v>39</v>
      </c>
      <c r="F193" s="71">
        <v>13.08</v>
      </c>
      <c r="G193" s="71">
        <f>F193*D193</f>
        <v>261.6</v>
      </c>
      <c r="H193" s="68">
        <v>107</v>
      </c>
      <c r="I193" s="68">
        <v>20</v>
      </c>
      <c r="J193" s="68">
        <f>D193/I193</f>
        <v>1</v>
      </c>
      <c r="K193" s="68">
        <v>16.53</v>
      </c>
      <c r="L193" s="68">
        <v>18.03</v>
      </c>
      <c r="M193" s="68">
        <f>L193*J193</f>
        <v>18.03</v>
      </c>
      <c r="N193" s="68" t="s">
        <v>172</v>
      </c>
      <c r="O193" s="75">
        <v>405398</v>
      </c>
      <c r="P193" s="47"/>
      <c r="Q193" s="47"/>
    </row>
    <row r="194" s="3" customFormat="1" ht="19" customHeight="1" spans="1:17">
      <c r="A194" s="67">
        <v>19617</v>
      </c>
      <c r="B194" s="68" t="s">
        <v>171</v>
      </c>
      <c r="C194" s="70" t="s">
        <v>81</v>
      </c>
      <c r="D194" s="68">
        <v>16</v>
      </c>
      <c r="E194" s="70" t="s">
        <v>39</v>
      </c>
      <c r="F194" s="71">
        <v>13.08</v>
      </c>
      <c r="G194" s="71">
        <f>F194*D194</f>
        <v>209.28</v>
      </c>
      <c r="H194" s="80">
        <v>107</v>
      </c>
      <c r="I194" s="80">
        <v>23</v>
      </c>
      <c r="J194" s="80">
        <v>1</v>
      </c>
      <c r="K194" s="80">
        <v>23.02</v>
      </c>
      <c r="L194" s="80">
        <v>24.02</v>
      </c>
      <c r="M194" s="80">
        <f>L194*J194</f>
        <v>24.02</v>
      </c>
      <c r="N194" s="80" t="s">
        <v>173</v>
      </c>
      <c r="O194" s="75">
        <v>405398</v>
      </c>
      <c r="P194" s="47">
        <v>13.22</v>
      </c>
      <c r="Q194" s="47"/>
    </row>
    <row r="195" s="3" customFormat="1" ht="19" customHeight="1" spans="1:17">
      <c r="A195" s="67">
        <v>18187</v>
      </c>
      <c r="B195" s="68" t="s">
        <v>169</v>
      </c>
      <c r="C195" s="70" t="s">
        <v>81</v>
      </c>
      <c r="D195" s="68">
        <v>7</v>
      </c>
      <c r="E195" s="70" t="s">
        <v>39</v>
      </c>
      <c r="F195" s="71">
        <v>9.52</v>
      </c>
      <c r="G195" s="71">
        <f>F195*D195</f>
        <v>66.64</v>
      </c>
      <c r="H195" s="79"/>
      <c r="I195" s="79"/>
      <c r="J195" s="79"/>
      <c r="K195" s="79"/>
      <c r="L195" s="79"/>
      <c r="M195" s="79"/>
      <c r="N195" s="79"/>
      <c r="O195" s="75">
        <v>405398</v>
      </c>
      <c r="P195" s="47">
        <v>9.8</v>
      </c>
      <c r="Q195" s="47"/>
    </row>
    <row r="196" s="3" customFormat="1" ht="19" customHeight="1" spans="1:17">
      <c r="A196" s="67"/>
      <c r="B196" s="68"/>
      <c r="C196" s="70">
        <v>103</v>
      </c>
      <c r="D196" s="68"/>
      <c r="E196" s="70"/>
      <c r="F196" s="71"/>
      <c r="G196" s="71"/>
      <c r="H196" s="68"/>
      <c r="I196" s="68"/>
      <c r="J196" s="68"/>
      <c r="K196" s="68"/>
      <c r="L196" s="68"/>
      <c r="M196" s="68"/>
      <c r="N196" s="68"/>
      <c r="O196" s="75"/>
      <c r="P196" s="47"/>
      <c r="Q196" s="47"/>
    </row>
    <row r="197" s="3" customFormat="1" ht="19" customHeight="1" spans="1:17">
      <c r="A197" s="67">
        <v>18136</v>
      </c>
      <c r="B197" s="68" t="s">
        <v>174</v>
      </c>
      <c r="C197" s="70" t="s">
        <v>81</v>
      </c>
      <c r="D197" s="68">
        <v>25</v>
      </c>
      <c r="E197" s="70" t="s">
        <v>39</v>
      </c>
      <c r="F197" s="71">
        <v>2.15</v>
      </c>
      <c r="G197" s="71">
        <f>F197*D197</f>
        <v>53.75</v>
      </c>
      <c r="H197" s="68">
        <v>111</v>
      </c>
      <c r="I197" s="68">
        <v>25</v>
      </c>
      <c r="J197" s="68">
        <f>D197/I197</f>
        <v>1</v>
      </c>
      <c r="K197" s="68">
        <v>7.7</v>
      </c>
      <c r="L197" s="68">
        <v>8.7</v>
      </c>
      <c r="M197" s="68">
        <f>L197*J197</f>
        <v>8.7</v>
      </c>
      <c r="N197" s="68" t="s">
        <v>78</v>
      </c>
      <c r="O197" s="75">
        <v>405398</v>
      </c>
      <c r="P197" s="47"/>
      <c r="Q197" s="47"/>
    </row>
    <row r="198" s="3" customFormat="1" ht="19" customHeight="1" spans="1:17">
      <c r="A198" s="67">
        <v>18208</v>
      </c>
      <c r="B198" s="68" t="s">
        <v>106</v>
      </c>
      <c r="C198" s="69" t="s">
        <v>81</v>
      </c>
      <c r="D198" s="68">
        <v>200</v>
      </c>
      <c r="E198" s="69" t="s">
        <v>39</v>
      </c>
      <c r="F198" s="76">
        <v>2.35</v>
      </c>
      <c r="G198" s="77">
        <f>F198*D198</f>
        <v>470</v>
      </c>
      <c r="H198" s="78">
        <v>111</v>
      </c>
      <c r="I198" s="79">
        <v>50</v>
      </c>
      <c r="J198" s="79">
        <f>D198/I198</f>
        <v>4</v>
      </c>
      <c r="K198" s="79">
        <v>16.75</v>
      </c>
      <c r="L198" s="79">
        <v>18.55</v>
      </c>
      <c r="M198" s="79">
        <f>L198*J198</f>
        <v>74.2</v>
      </c>
      <c r="N198" s="79" t="s">
        <v>175</v>
      </c>
      <c r="O198" s="23">
        <v>420867</v>
      </c>
      <c r="P198" s="47"/>
      <c r="Q198" s="47"/>
    </row>
    <row r="199" s="3" customFormat="1" ht="19" customHeight="1" spans="1:17">
      <c r="A199" s="67">
        <v>18208</v>
      </c>
      <c r="B199" s="68" t="s">
        <v>106</v>
      </c>
      <c r="C199" s="70" t="s">
        <v>81</v>
      </c>
      <c r="D199" s="68">
        <v>700</v>
      </c>
      <c r="E199" s="70" t="s">
        <v>39</v>
      </c>
      <c r="F199" s="71">
        <v>2.35</v>
      </c>
      <c r="G199" s="71">
        <f>F199*D199</f>
        <v>1645</v>
      </c>
      <c r="H199" s="68">
        <v>111</v>
      </c>
      <c r="I199" s="68">
        <v>50</v>
      </c>
      <c r="J199" s="68">
        <f>D199/I199</f>
        <v>14</v>
      </c>
      <c r="K199" s="68">
        <v>16.75</v>
      </c>
      <c r="L199" s="68">
        <v>18.55</v>
      </c>
      <c r="M199" s="68">
        <f>L199*J199</f>
        <v>259.7</v>
      </c>
      <c r="N199" s="79" t="s">
        <v>175</v>
      </c>
      <c r="O199" s="75">
        <v>405398</v>
      </c>
      <c r="P199" s="47"/>
      <c r="Q199" s="47"/>
    </row>
    <row r="200" s="3" customFormat="1" ht="19" customHeight="1" spans="1:17">
      <c r="A200" s="67">
        <v>18208</v>
      </c>
      <c r="B200" s="68" t="s">
        <v>106</v>
      </c>
      <c r="C200" s="70" t="s">
        <v>81</v>
      </c>
      <c r="D200" s="68">
        <v>46</v>
      </c>
      <c r="E200" s="70" t="s">
        <v>39</v>
      </c>
      <c r="F200" s="71">
        <v>2.35</v>
      </c>
      <c r="G200" s="71">
        <f>F200*D200</f>
        <v>108.1</v>
      </c>
      <c r="H200" s="68">
        <v>111</v>
      </c>
      <c r="I200" s="68">
        <v>46</v>
      </c>
      <c r="J200" s="68">
        <f>D200/I200</f>
        <v>1</v>
      </c>
      <c r="K200" s="68">
        <v>15.4</v>
      </c>
      <c r="L200" s="68">
        <v>17</v>
      </c>
      <c r="M200" s="68">
        <f>L200*J200</f>
        <v>17</v>
      </c>
      <c r="N200" s="68" t="s">
        <v>78</v>
      </c>
      <c r="O200" s="75">
        <v>405398</v>
      </c>
      <c r="P200" s="47"/>
      <c r="Q200" s="47"/>
    </row>
    <row r="201" s="3" customFormat="1" ht="19" customHeight="1" spans="1:17">
      <c r="A201" s="67"/>
      <c r="B201" s="68"/>
      <c r="C201" s="70">
        <v>776</v>
      </c>
      <c r="D201" s="68"/>
      <c r="E201" s="70"/>
      <c r="F201" s="71"/>
      <c r="G201" s="71"/>
      <c r="H201" s="68"/>
      <c r="I201" s="68"/>
      <c r="J201" s="68"/>
      <c r="K201" s="68"/>
      <c r="L201" s="68"/>
      <c r="M201" s="68"/>
      <c r="N201" s="68"/>
      <c r="O201" s="75"/>
      <c r="P201" s="47"/>
      <c r="Q201" s="47"/>
    </row>
    <row r="202" s="3" customFormat="1" ht="19" customHeight="1" spans="1:17">
      <c r="A202" s="67">
        <v>18475</v>
      </c>
      <c r="B202" s="68" t="s">
        <v>176</v>
      </c>
      <c r="C202" s="70" t="s">
        <v>81</v>
      </c>
      <c r="D202" s="68">
        <v>2</v>
      </c>
      <c r="E202" s="70" t="s">
        <v>39</v>
      </c>
      <c r="F202" s="71">
        <v>11</v>
      </c>
      <c r="G202" s="71">
        <f>F202*D202</f>
        <v>22</v>
      </c>
      <c r="H202" s="68">
        <v>114</v>
      </c>
      <c r="I202" s="80">
        <v>7</v>
      </c>
      <c r="J202" s="80">
        <v>1</v>
      </c>
      <c r="K202" s="80">
        <v>4.59</v>
      </c>
      <c r="L202" s="80">
        <v>5.59</v>
      </c>
      <c r="M202" s="80">
        <f>L202*J202</f>
        <v>5.59</v>
      </c>
      <c r="N202" s="80" t="s">
        <v>177</v>
      </c>
      <c r="O202" s="75">
        <v>405398</v>
      </c>
      <c r="P202" s="47">
        <v>3.05</v>
      </c>
      <c r="Q202" s="47"/>
    </row>
    <row r="203" s="3" customFormat="1" ht="19" customHeight="1" spans="1:17">
      <c r="A203" s="67">
        <v>18136</v>
      </c>
      <c r="B203" s="68" t="s">
        <v>174</v>
      </c>
      <c r="C203" s="70" t="s">
        <v>81</v>
      </c>
      <c r="D203" s="68">
        <v>5</v>
      </c>
      <c r="E203" s="70" t="s">
        <v>39</v>
      </c>
      <c r="F203" s="71">
        <v>2.15</v>
      </c>
      <c r="G203" s="71">
        <f>F203*D203</f>
        <v>10.75</v>
      </c>
      <c r="H203" s="68">
        <v>111</v>
      </c>
      <c r="I203" s="79"/>
      <c r="J203" s="79"/>
      <c r="K203" s="79"/>
      <c r="L203" s="79"/>
      <c r="M203" s="79"/>
      <c r="N203" s="79"/>
      <c r="O203" s="75">
        <v>405398</v>
      </c>
      <c r="P203" s="47">
        <v>1.54</v>
      </c>
      <c r="Q203" s="47"/>
    </row>
    <row r="204" s="3" customFormat="1" ht="19" customHeight="1" spans="1:17">
      <c r="A204" s="67"/>
      <c r="B204" s="68"/>
      <c r="C204" s="70">
        <v>2</v>
      </c>
      <c r="D204" s="68"/>
      <c r="E204" s="70"/>
      <c r="F204" s="71"/>
      <c r="G204" s="71"/>
      <c r="H204" s="68"/>
      <c r="I204" s="68"/>
      <c r="J204" s="68"/>
      <c r="K204" s="68"/>
      <c r="L204" s="68"/>
      <c r="M204" s="68"/>
      <c r="N204" s="68"/>
      <c r="O204" s="75"/>
      <c r="P204" s="47"/>
      <c r="Q204" s="47"/>
    </row>
    <row r="205" s="3" customFormat="1" ht="19" customHeight="1" spans="1:17">
      <c r="A205" s="67"/>
      <c r="B205" s="68"/>
      <c r="C205" s="70"/>
      <c r="D205" s="68"/>
      <c r="E205" s="70"/>
      <c r="F205" s="71"/>
      <c r="G205" s="71"/>
      <c r="H205" s="68"/>
      <c r="I205" s="68"/>
      <c r="J205" s="68"/>
      <c r="K205" s="68"/>
      <c r="L205" s="68"/>
      <c r="M205" s="68"/>
      <c r="N205" s="68"/>
      <c r="O205" s="75"/>
      <c r="P205" s="47"/>
      <c r="Q205" s="47"/>
    </row>
    <row r="206" s="3" customFormat="1" ht="19" customHeight="1" spans="1:17">
      <c r="A206" s="67">
        <v>28581</v>
      </c>
      <c r="B206" s="68" t="s">
        <v>178</v>
      </c>
      <c r="C206" s="70" t="s">
        <v>179</v>
      </c>
      <c r="D206" s="68">
        <v>390</v>
      </c>
      <c r="E206" s="69" t="s">
        <v>39</v>
      </c>
      <c r="F206" s="71">
        <v>5.6</v>
      </c>
      <c r="G206" s="74">
        <f t="shared" ref="G206:G224" si="20">F206*D206</f>
        <v>2184</v>
      </c>
      <c r="H206" s="78">
        <v>115</v>
      </c>
      <c r="I206" s="79">
        <v>30</v>
      </c>
      <c r="J206" s="68">
        <f t="shared" ref="J206:J224" si="21">D206/I206</f>
        <v>13</v>
      </c>
      <c r="K206" s="79">
        <v>13.5</v>
      </c>
      <c r="L206" s="79">
        <v>14.7</v>
      </c>
      <c r="M206" s="68">
        <f t="shared" ref="M206:M233" si="22">L206*J206</f>
        <v>191.1</v>
      </c>
      <c r="N206" s="79" t="s">
        <v>180</v>
      </c>
      <c r="O206" s="75">
        <v>405398</v>
      </c>
      <c r="P206" s="47"/>
      <c r="Q206" s="47"/>
    </row>
    <row r="207" s="3" customFormat="1" ht="19" customHeight="1" spans="1:17">
      <c r="A207" s="67">
        <v>28583</v>
      </c>
      <c r="B207" s="68" t="s">
        <v>181</v>
      </c>
      <c r="C207" s="70" t="s">
        <v>179</v>
      </c>
      <c r="D207" s="68">
        <v>300</v>
      </c>
      <c r="E207" s="69" t="s">
        <v>39</v>
      </c>
      <c r="F207" s="71">
        <v>5.6</v>
      </c>
      <c r="G207" s="74">
        <f t="shared" si="20"/>
        <v>1680</v>
      </c>
      <c r="H207" s="78">
        <v>115</v>
      </c>
      <c r="I207" s="79">
        <v>30</v>
      </c>
      <c r="J207" s="68">
        <f t="shared" si="21"/>
        <v>10</v>
      </c>
      <c r="K207" s="79">
        <v>14.7</v>
      </c>
      <c r="L207" s="79">
        <v>15.9</v>
      </c>
      <c r="M207" s="68">
        <f t="shared" si="22"/>
        <v>159</v>
      </c>
      <c r="N207" s="79" t="s">
        <v>180</v>
      </c>
      <c r="O207" s="75">
        <v>405398</v>
      </c>
      <c r="P207" s="47"/>
      <c r="Q207" s="47"/>
    </row>
    <row r="208" s="3" customFormat="1" ht="19" customHeight="1" spans="1:17">
      <c r="A208" s="67">
        <v>28588</v>
      </c>
      <c r="B208" s="68" t="s">
        <v>182</v>
      </c>
      <c r="C208" s="70" t="s">
        <v>179</v>
      </c>
      <c r="D208" s="68">
        <v>30</v>
      </c>
      <c r="E208" s="69" t="s">
        <v>39</v>
      </c>
      <c r="F208" s="76">
        <v>5.45</v>
      </c>
      <c r="G208" s="77">
        <f t="shared" si="20"/>
        <v>163.5</v>
      </c>
      <c r="H208" s="78">
        <v>115</v>
      </c>
      <c r="I208" s="79">
        <v>30</v>
      </c>
      <c r="J208" s="68">
        <f t="shared" si="21"/>
        <v>1</v>
      </c>
      <c r="K208" s="79">
        <v>16.2</v>
      </c>
      <c r="L208" s="79">
        <v>17.2</v>
      </c>
      <c r="M208" s="68">
        <f t="shared" si="22"/>
        <v>17.2</v>
      </c>
      <c r="N208" s="79" t="s">
        <v>180</v>
      </c>
      <c r="O208" s="23">
        <v>420867</v>
      </c>
      <c r="P208" s="47"/>
      <c r="Q208" s="47"/>
    </row>
    <row r="209" s="3" customFormat="1" ht="19" customHeight="1" spans="1:17">
      <c r="A209" s="73">
        <v>28588</v>
      </c>
      <c r="B209" s="68" t="s">
        <v>182</v>
      </c>
      <c r="C209" s="70" t="s">
        <v>179</v>
      </c>
      <c r="D209" s="68">
        <v>180</v>
      </c>
      <c r="E209" s="70" t="s">
        <v>39</v>
      </c>
      <c r="F209" s="74">
        <v>5.65</v>
      </c>
      <c r="G209" s="71">
        <f t="shared" si="20"/>
        <v>1017</v>
      </c>
      <c r="H209" s="68">
        <v>115</v>
      </c>
      <c r="I209" s="68">
        <v>30</v>
      </c>
      <c r="J209" s="68">
        <f t="shared" si="21"/>
        <v>6</v>
      </c>
      <c r="K209" s="68">
        <v>16.2</v>
      </c>
      <c r="L209" s="68">
        <v>17.4</v>
      </c>
      <c r="M209" s="68">
        <f t="shared" si="22"/>
        <v>104.4</v>
      </c>
      <c r="N209" s="68" t="s">
        <v>180</v>
      </c>
      <c r="O209" s="75">
        <v>405398</v>
      </c>
      <c r="P209" s="47"/>
      <c r="Q209" s="47"/>
    </row>
    <row r="210" s="3" customFormat="1" ht="19" customHeight="1" spans="1:17">
      <c r="A210" s="73">
        <v>28602</v>
      </c>
      <c r="B210" s="73">
        <v>391009</v>
      </c>
      <c r="C210" s="70" t="s">
        <v>179</v>
      </c>
      <c r="D210" s="68">
        <v>60</v>
      </c>
      <c r="E210" s="70" t="s">
        <v>39</v>
      </c>
      <c r="F210" s="74">
        <v>5.6</v>
      </c>
      <c r="G210" s="71">
        <f t="shared" si="20"/>
        <v>336</v>
      </c>
      <c r="H210" s="68">
        <v>115</v>
      </c>
      <c r="I210" s="68">
        <v>30</v>
      </c>
      <c r="J210" s="68">
        <f t="shared" si="21"/>
        <v>2</v>
      </c>
      <c r="K210" s="68">
        <v>14.4</v>
      </c>
      <c r="L210" s="68">
        <v>15.6</v>
      </c>
      <c r="M210" s="68">
        <f t="shared" si="22"/>
        <v>31.2</v>
      </c>
      <c r="N210" s="68" t="s">
        <v>180</v>
      </c>
      <c r="O210" s="75">
        <v>405398</v>
      </c>
      <c r="P210" s="47"/>
      <c r="Q210" s="47"/>
    </row>
    <row r="211" s="3" customFormat="1" ht="19" customHeight="1" spans="1:17">
      <c r="A211" s="73">
        <v>28612</v>
      </c>
      <c r="B211" s="73">
        <v>39339</v>
      </c>
      <c r="C211" s="70" t="s">
        <v>179</v>
      </c>
      <c r="D211" s="68">
        <v>30</v>
      </c>
      <c r="E211" s="70" t="s">
        <v>39</v>
      </c>
      <c r="F211" s="74">
        <v>5.75</v>
      </c>
      <c r="G211" s="71">
        <f t="shared" si="20"/>
        <v>172.5</v>
      </c>
      <c r="H211" s="68">
        <v>115</v>
      </c>
      <c r="I211" s="68">
        <v>30</v>
      </c>
      <c r="J211" s="68">
        <f t="shared" si="21"/>
        <v>1</v>
      </c>
      <c r="K211" s="68">
        <v>11.1</v>
      </c>
      <c r="L211" s="68">
        <v>12.3</v>
      </c>
      <c r="M211" s="68">
        <f t="shared" si="22"/>
        <v>12.3</v>
      </c>
      <c r="N211" s="68" t="s">
        <v>180</v>
      </c>
      <c r="O211" s="75">
        <v>405398</v>
      </c>
      <c r="P211" s="47"/>
      <c r="Q211" s="47"/>
    </row>
    <row r="212" s="3" customFormat="1" ht="19" customHeight="1" spans="1:17">
      <c r="A212" s="73">
        <v>28619</v>
      </c>
      <c r="B212" s="68" t="s">
        <v>183</v>
      </c>
      <c r="C212" s="70" t="s">
        <v>179</v>
      </c>
      <c r="D212" s="68">
        <v>30</v>
      </c>
      <c r="E212" s="70" t="s">
        <v>39</v>
      </c>
      <c r="F212" s="74">
        <v>5.65</v>
      </c>
      <c r="G212" s="71">
        <f t="shared" si="20"/>
        <v>169.5</v>
      </c>
      <c r="H212" s="68">
        <v>115</v>
      </c>
      <c r="I212" s="68">
        <v>30</v>
      </c>
      <c r="J212" s="68">
        <f t="shared" si="21"/>
        <v>1</v>
      </c>
      <c r="K212" s="68">
        <v>11.58</v>
      </c>
      <c r="L212" s="68">
        <v>12.78</v>
      </c>
      <c r="M212" s="68">
        <f t="shared" si="22"/>
        <v>12.78</v>
      </c>
      <c r="N212" s="68" t="s">
        <v>180</v>
      </c>
      <c r="O212" s="75">
        <v>405398</v>
      </c>
      <c r="P212" s="47"/>
      <c r="Q212" s="47"/>
    </row>
    <row r="213" s="3" customFormat="1" ht="19" customHeight="1" spans="1:17">
      <c r="A213" s="73">
        <v>28621</v>
      </c>
      <c r="B213" s="68" t="s">
        <v>184</v>
      </c>
      <c r="C213" s="70" t="s">
        <v>179</v>
      </c>
      <c r="D213" s="68">
        <v>60</v>
      </c>
      <c r="E213" s="70" t="s">
        <v>39</v>
      </c>
      <c r="F213" s="74">
        <v>5.7</v>
      </c>
      <c r="G213" s="71">
        <f t="shared" si="20"/>
        <v>342</v>
      </c>
      <c r="H213" s="68">
        <v>115</v>
      </c>
      <c r="I213" s="68">
        <v>30</v>
      </c>
      <c r="J213" s="68">
        <f t="shared" si="21"/>
        <v>2</v>
      </c>
      <c r="K213" s="68">
        <v>14.7</v>
      </c>
      <c r="L213" s="68">
        <v>15.9</v>
      </c>
      <c r="M213" s="68">
        <f t="shared" si="22"/>
        <v>31.8</v>
      </c>
      <c r="N213" s="68" t="s">
        <v>180</v>
      </c>
      <c r="O213" s="75">
        <v>405398</v>
      </c>
      <c r="P213" s="47"/>
      <c r="Q213" s="47"/>
    </row>
    <row r="214" s="3" customFormat="1" ht="19" customHeight="1" spans="1:17">
      <c r="A214" s="73">
        <v>28653</v>
      </c>
      <c r="B214" s="73" t="s">
        <v>185</v>
      </c>
      <c r="C214" s="70" t="s">
        <v>179</v>
      </c>
      <c r="D214" s="68">
        <v>90</v>
      </c>
      <c r="E214" s="70" t="s">
        <v>39</v>
      </c>
      <c r="F214" s="74">
        <v>5.6</v>
      </c>
      <c r="G214" s="71">
        <f t="shared" si="20"/>
        <v>504</v>
      </c>
      <c r="H214" s="68">
        <v>115</v>
      </c>
      <c r="I214" s="68">
        <v>30</v>
      </c>
      <c r="J214" s="68">
        <f t="shared" si="21"/>
        <v>3</v>
      </c>
      <c r="K214" s="68">
        <v>14.76</v>
      </c>
      <c r="L214" s="68">
        <v>15.96</v>
      </c>
      <c r="M214" s="68">
        <f t="shared" si="22"/>
        <v>47.88</v>
      </c>
      <c r="N214" s="68" t="s">
        <v>180</v>
      </c>
      <c r="O214" s="75">
        <v>405398</v>
      </c>
      <c r="P214" s="47"/>
      <c r="Q214" s="47"/>
    </row>
    <row r="215" s="3" customFormat="1" ht="19" customHeight="1" spans="1:17">
      <c r="A215" s="73">
        <v>28688</v>
      </c>
      <c r="B215" s="73">
        <v>197007</v>
      </c>
      <c r="C215" s="70" t="s">
        <v>179</v>
      </c>
      <c r="D215" s="68">
        <v>30</v>
      </c>
      <c r="E215" s="70" t="s">
        <v>39</v>
      </c>
      <c r="F215" s="74">
        <v>5.7</v>
      </c>
      <c r="G215" s="71">
        <f t="shared" si="20"/>
        <v>171</v>
      </c>
      <c r="H215" s="68">
        <v>115</v>
      </c>
      <c r="I215" s="68">
        <v>30</v>
      </c>
      <c r="J215" s="68">
        <f t="shared" si="21"/>
        <v>1</v>
      </c>
      <c r="K215" s="68">
        <v>13.5</v>
      </c>
      <c r="L215" s="68">
        <v>14.7</v>
      </c>
      <c r="M215" s="68">
        <f t="shared" si="22"/>
        <v>14.7</v>
      </c>
      <c r="N215" s="68" t="s">
        <v>180</v>
      </c>
      <c r="O215" s="75">
        <v>405398</v>
      </c>
      <c r="P215" s="47"/>
      <c r="Q215" s="47"/>
    </row>
    <row r="216" s="3" customFormat="1" ht="19" customHeight="1" spans="1:17">
      <c r="A216" s="73">
        <v>28702</v>
      </c>
      <c r="B216" s="68" t="s">
        <v>186</v>
      </c>
      <c r="C216" s="70" t="s">
        <v>179</v>
      </c>
      <c r="D216" s="68">
        <v>30</v>
      </c>
      <c r="E216" s="70" t="s">
        <v>39</v>
      </c>
      <c r="F216" s="74">
        <v>5.6</v>
      </c>
      <c r="G216" s="71">
        <f t="shared" si="20"/>
        <v>168</v>
      </c>
      <c r="H216" s="68">
        <v>115</v>
      </c>
      <c r="I216" s="68">
        <v>30</v>
      </c>
      <c r="J216" s="68">
        <f t="shared" si="21"/>
        <v>1</v>
      </c>
      <c r="K216" s="68">
        <v>16.8</v>
      </c>
      <c r="L216" s="68">
        <v>18</v>
      </c>
      <c r="M216" s="68">
        <f t="shared" si="22"/>
        <v>18</v>
      </c>
      <c r="N216" s="68" t="s">
        <v>180</v>
      </c>
      <c r="O216" s="75">
        <v>405398</v>
      </c>
      <c r="P216" s="47"/>
      <c r="Q216" s="47"/>
    </row>
    <row r="217" s="3" customFormat="1" ht="19" customHeight="1" spans="1:17">
      <c r="A217" s="73">
        <v>28712</v>
      </c>
      <c r="B217" s="68" t="s">
        <v>187</v>
      </c>
      <c r="C217" s="70" t="s">
        <v>179</v>
      </c>
      <c r="D217" s="68">
        <v>270</v>
      </c>
      <c r="E217" s="70" t="s">
        <v>39</v>
      </c>
      <c r="F217" s="74">
        <v>5.7</v>
      </c>
      <c r="G217" s="71">
        <f t="shared" si="20"/>
        <v>1539</v>
      </c>
      <c r="H217" s="68">
        <v>115</v>
      </c>
      <c r="I217" s="68">
        <v>30</v>
      </c>
      <c r="J217" s="68">
        <f t="shared" si="21"/>
        <v>9</v>
      </c>
      <c r="K217" s="68">
        <v>15.9</v>
      </c>
      <c r="L217" s="68">
        <v>17.1</v>
      </c>
      <c r="M217" s="68">
        <f t="shared" si="22"/>
        <v>153.9</v>
      </c>
      <c r="N217" s="68" t="s">
        <v>180</v>
      </c>
      <c r="O217" s="75">
        <v>405398</v>
      </c>
      <c r="P217" s="47"/>
      <c r="Q217" s="47"/>
    </row>
    <row r="218" s="3" customFormat="1" ht="19" customHeight="1" spans="1:17">
      <c r="A218" s="73">
        <v>28737</v>
      </c>
      <c r="B218" s="68" t="s">
        <v>188</v>
      </c>
      <c r="C218" s="70" t="s">
        <v>179</v>
      </c>
      <c r="D218" s="68">
        <v>180</v>
      </c>
      <c r="E218" s="70" t="s">
        <v>39</v>
      </c>
      <c r="F218" s="74">
        <v>5.6</v>
      </c>
      <c r="G218" s="71">
        <f t="shared" si="20"/>
        <v>1008</v>
      </c>
      <c r="H218" s="68">
        <v>115</v>
      </c>
      <c r="I218" s="68">
        <v>30</v>
      </c>
      <c r="J218" s="68">
        <f t="shared" si="21"/>
        <v>6</v>
      </c>
      <c r="K218" s="68">
        <v>11.7</v>
      </c>
      <c r="L218" s="68">
        <v>12.9</v>
      </c>
      <c r="M218" s="68">
        <f t="shared" si="22"/>
        <v>77.4</v>
      </c>
      <c r="N218" s="68" t="s">
        <v>180</v>
      </c>
      <c r="O218" s="75">
        <v>405398</v>
      </c>
      <c r="P218" s="47"/>
      <c r="Q218" s="47"/>
    </row>
    <row r="219" s="3" customFormat="1" ht="19" customHeight="1" spans="1:17">
      <c r="A219" s="73">
        <v>28753</v>
      </c>
      <c r="B219" s="73">
        <v>593920</v>
      </c>
      <c r="C219" s="70" t="s">
        <v>179</v>
      </c>
      <c r="D219" s="68">
        <v>30</v>
      </c>
      <c r="E219" s="70" t="s">
        <v>39</v>
      </c>
      <c r="F219" s="74">
        <v>5.7</v>
      </c>
      <c r="G219" s="71">
        <f t="shared" si="20"/>
        <v>171</v>
      </c>
      <c r="H219" s="68">
        <v>115</v>
      </c>
      <c r="I219" s="68">
        <v>30</v>
      </c>
      <c r="J219" s="68">
        <f t="shared" si="21"/>
        <v>1</v>
      </c>
      <c r="K219" s="68">
        <v>18</v>
      </c>
      <c r="L219" s="68">
        <v>19.2</v>
      </c>
      <c r="M219" s="68">
        <f t="shared" si="22"/>
        <v>19.2</v>
      </c>
      <c r="N219" s="68" t="s">
        <v>180</v>
      </c>
      <c r="O219" s="75">
        <v>405398</v>
      </c>
      <c r="P219" s="47"/>
      <c r="Q219" s="47"/>
    </row>
    <row r="220" s="3" customFormat="1" ht="19" customHeight="1" spans="1:17">
      <c r="A220" s="73">
        <v>28765</v>
      </c>
      <c r="B220" s="68" t="s">
        <v>189</v>
      </c>
      <c r="C220" s="70" t="s">
        <v>179</v>
      </c>
      <c r="D220" s="68">
        <v>90</v>
      </c>
      <c r="E220" s="70" t="s">
        <v>39</v>
      </c>
      <c r="F220" s="74">
        <v>5.7</v>
      </c>
      <c r="G220" s="71">
        <f t="shared" si="20"/>
        <v>513</v>
      </c>
      <c r="H220" s="68">
        <v>115</v>
      </c>
      <c r="I220" s="68">
        <v>30</v>
      </c>
      <c r="J220" s="68">
        <f t="shared" si="21"/>
        <v>3</v>
      </c>
      <c r="K220" s="68">
        <v>11.26</v>
      </c>
      <c r="L220" s="68">
        <v>12.46</v>
      </c>
      <c r="M220" s="68">
        <f t="shared" si="22"/>
        <v>37.38</v>
      </c>
      <c r="N220" s="68" t="s">
        <v>180</v>
      </c>
      <c r="O220" s="75">
        <v>405398</v>
      </c>
      <c r="P220" s="47"/>
      <c r="Q220" s="47"/>
    </row>
    <row r="221" s="3" customFormat="1" ht="19" customHeight="1" spans="1:17">
      <c r="A221" s="73">
        <v>28783</v>
      </c>
      <c r="B221" s="68" t="s">
        <v>190</v>
      </c>
      <c r="C221" s="70" t="s">
        <v>179</v>
      </c>
      <c r="D221" s="68">
        <v>30</v>
      </c>
      <c r="E221" s="70" t="s">
        <v>39</v>
      </c>
      <c r="F221" s="105">
        <v>5.5</v>
      </c>
      <c r="G221" s="88">
        <f t="shared" si="20"/>
        <v>165</v>
      </c>
      <c r="H221" s="68">
        <v>115</v>
      </c>
      <c r="I221" s="68">
        <v>30</v>
      </c>
      <c r="J221" s="68">
        <f t="shared" si="21"/>
        <v>1</v>
      </c>
      <c r="K221" s="68">
        <v>17.1</v>
      </c>
      <c r="L221" s="68">
        <v>18.1</v>
      </c>
      <c r="M221" s="68">
        <f t="shared" si="22"/>
        <v>18.1</v>
      </c>
      <c r="N221" s="68" t="s">
        <v>180</v>
      </c>
      <c r="O221" s="23">
        <v>420867</v>
      </c>
      <c r="P221" s="47"/>
      <c r="Q221" s="47"/>
    </row>
    <row r="222" s="3" customFormat="1" ht="19" customHeight="1" spans="1:17">
      <c r="A222" s="73">
        <v>28791</v>
      </c>
      <c r="B222" s="68" t="s">
        <v>191</v>
      </c>
      <c r="C222" s="70" t="s">
        <v>179</v>
      </c>
      <c r="D222" s="68">
        <v>28</v>
      </c>
      <c r="E222" s="70" t="s">
        <v>39</v>
      </c>
      <c r="F222" s="74">
        <v>5.6</v>
      </c>
      <c r="G222" s="71">
        <f t="shared" si="20"/>
        <v>156.8</v>
      </c>
      <c r="H222" s="68">
        <v>115</v>
      </c>
      <c r="I222" s="68">
        <v>28</v>
      </c>
      <c r="J222" s="68">
        <f t="shared" si="21"/>
        <v>1</v>
      </c>
      <c r="K222" s="68">
        <v>13.22</v>
      </c>
      <c r="L222" s="68">
        <v>14.22</v>
      </c>
      <c r="M222" s="68">
        <f t="shared" si="22"/>
        <v>14.22</v>
      </c>
      <c r="N222" s="68" t="s">
        <v>180</v>
      </c>
      <c r="O222" s="75">
        <v>405398</v>
      </c>
      <c r="P222" s="47"/>
      <c r="Q222" s="47"/>
    </row>
    <row r="223" s="3" customFormat="1" ht="19" customHeight="1" spans="1:17">
      <c r="A223" s="73">
        <v>28791</v>
      </c>
      <c r="B223" s="73">
        <v>39323</v>
      </c>
      <c r="C223" s="70" t="s">
        <v>179</v>
      </c>
      <c r="D223" s="68">
        <v>300</v>
      </c>
      <c r="E223" s="70" t="s">
        <v>39</v>
      </c>
      <c r="F223" s="74">
        <v>5.6</v>
      </c>
      <c r="G223" s="71">
        <f t="shared" si="20"/>
        <v>1680</v>
      </c>
      <c r="H223" s="68">
        <v>115</v>
      </c>
      <c r="I223" s="68">
        <v>30</v>
      </c>
      <c r="J223" s="68">
        <f t="shared" si="21"/>
        <v>10</v>
      </c>
      <c r="K223" s="68">
        <v>14.16</v>
      </c>
      <c r="L223" s="68">
        <v>15.36</v>
      </c>
      <c r="M223" s="68">
        <f t="shared" si="22"/>
        <v>153.6</v>
      </c>
      <c r="N223" s="68" t="s">
        <v>180</v>
      </c>
      <c r="O223" s="75">
        <v>405398</v>
      </c>
      <c r="P223" s="47"/>
      <c r="Q223" s="47"/>
    </row>
    <row r="224" s="3" customFormat="1" ht="19" customHeight="1" spans="1:17">
      <c r="A224" s="73">
        <v>28796</v>
      </c>
      <c r="B224" s="68" t="s">
        <v>192</v>
      </c>
      <c r="C224" s="70" t="s">
        <v>179</v>
      </c>
      <c r="D224" s="68">
        <v>60</v>
      </c>
      <c r="E224" s="70" t="s">
        <v>39</v>
      </c>
      <c r="F224" s="105">
        <v>5.4</v>
      </c>
      <c r="G224" s="88">
        <f t="shared" si="20"/>
        <v>324</v>
      </c>
      <c r="H224" s="68">
        <v>115</v>
      </c>
      <c r="I224" s="68">
        <v>30</v>
      </c>
      <c r="J224" s="68">
        <f t="shared" si="21"/>
        <v>2</v>
      </c>
      <c r="K224" s="68">
        <v>16.5</v>
      </c>
      <c r="L224" s="68">
        <v>17.5</v>
      </c>
      <c r="M224" s="68">
        <f t="shared" si="22"/>
        <v>35</v>
      </c>
      <c r="N224" s="68" t="s">
        <v>180</v>
      </c>
      <c r="O224" s="23">
        <v>420867</v>
      </c>
      <c r="P224" s="47"/>
      <c r="Q224" s="47"/>
    </row>
    <row r="225" s="3" customFormat="1" ht="19" customHeight="1" spans="1:17">
      <c r="A225" s="106">
        <v>28796</v>
      </c>
      <c r="B225" s="68" t="s">
        <v>192</v>
      </c>
      <c r="C225" s="70" t="s">
        <v>179</v>
      </c>
      <c r="D225" s="68">
        <v>28</v>
      </c>
      <c r="E225" s="70" t="s">
        <v>39</v>
      </c>
      <c r="F225" s="74">
        <v>5.6</v>
      </c>
      <c r="G225" s="71">
        <f t="shared" ref="G213:G239" si="23">F225*D225</f>
        <v>156.8</v>
      </c>
      <c r="H225" s="68">
        <v>115</v>
      </c>
      <c r="I225" s="68">
        <v>28</v>
      </c>
      <c r="J225" s="68">
        <v>1</v>
      </c>
      <c r="K225" s="68">
        <v>15.4</v>
      </c>
      <c r="L225" s="68">
        <v>16.4</v>
      </c>
      <c r="M225" s="68">
        <f t="shared" si="22"/>
        <v>16.4</v>
      </c>
      <c r="N225" s="68" t="s">
        <v>180</v>
      </c>
      <c r="O225" s="75">
        <v>405398</v>
      </c>
      <c r="P225" s="47"/>
      <c r="Q225" s="47"/>
    </row>
    <row r="226" s="3" customFormat="1" ht="19" customHeight="1" spans="1:17">
      <c r="A226" s="106">
        <v>28796</v>
      </c>
      <c r="B226" s="68" t="s">
        <v>192</v>
      </c>
      <c r="C226" s="70" t="s">
        <v>179</v>
      </c>
      <c r="D226" s="68">
        <v>900</v>
      </c>
      <c r="E226" s="70" t="s">
        <v>39</v>
      </c>
      <c r="F226" s="74">
        <v>5.6</v>
      </c>
      <c r="G226" s="71">
        <f t="shared" si="23"/>
        <v>5040</v>
      </c>
      <c r="H226" s="68">
        <v>115</v>
      </c>
      <c r="I226" s="68">
        <v>30</v>
      </c>
      <c r="J226" s="68">
        <f>D226/I226</f>
        <v>30</v>
      </c>
      <c r="K226" s="68">
        <v>16.5</v>
      </c>
      <c r="L226" s="68">
        <v>17.7</v>
      </c>
      <c r="M226" s="68">
        <f t="shared" si="22"/>
        <v>531</v>
      </c>
      <c r="N226" s="68" t="s">
        <v>180</v>
      </c>
      <c r="O226" s="75">
        <v>405398</v>
      </c>
      <c r="P226" s="47"/>
      <c r="Q226" s="47"/>
    </row>
    <row r="227" s="3" customFormat="1" ht="19" customHeight="1" spans="1:17">
      <c r="A227" s="73">
        <v>28798</v>
      </c>
      <c r="B227" s="68" t="s">
        <v>193</v>
      </c>
      <c r="C227" s="70" t="s">
        <v>179</v>
      </c>
      <c r="D227" s="68">
        <v>90</v>
      </c>
      <c r="E227" s="70" t="s">
        <v>39</v>
      </c>
      <c r="F227" s="74">
        <v>5.75</v>
      </c>
      <c r="G227" s="71">
        <f t="shared" si="23"/>
        <v>517.5</v>
      </c>
      <c r="H227" s="68">
        <v>115</v>
      </c>
      <c r="I227" s="68">
        <v>30</v>
      </c>
      <c r="J227" s="68">
        <f>D227/I227</f>
        <v>3</v>
      </c>
      <c r="K227" s="68">
        <v>14.7</v>
      </c>
      <c r="L227" s="68">
        <v>15.9</v>
      </c>
      <c r="M227" s="68">
        <f t="shared" si="22"/>
        <v>47.7</v>
      </c>
      <c r="N227" s="68" t="s">
        <v>180</v>
      </c>
      <c r="O227" s="75">
        <v>405398</v>
      </c>
      <c r="P227" s="47"/>
      <c r="Q227" s="47"/>
    </row>
    <row r="228" s="3" customFormat="1" ht="19" customHeight="1" spans="1:17">
      <c r="A228" s="73">
        <v>28808</v>
      </c>
      <c r="B228" s="73" t="s">
        <v>194</v>
      </c>
      <c r="C228" s="70" t="s">
        <v>179</v>
      </c>
      <c r="D228" s="68">
        <v>360</v>
      </c>
      <c r="E228" s="70" t="s">
        <v>39</v>
      </c>
      <c r="F228" s="74">
        <v>5.6</v>
      </c>
      <c r="G228" s="71">
        <f t="shared" si="23"/>
        <v>2016</v>
      </c>
      <c r="H228" s="68">
        <v>115</v>
      </c>
      <c r="I228" s="68">
        <v>30</v>
      </c>
      <c r="J228" s="68">
        <f>D228/I228</f>
        <v>12</v>
      </c>
      <c r="K228" s="68">
        <v>13.96</v>
      </c>
      <c r="L228" s="68">
        <v>15.16</v>
      </c>
      <c r="M228" s="68">
        <f t="shared" si="22"/>
        <v>181.92</v>
      </c>
      <c r="N228" s="68" t="s">
        <v>180</v>
      </c>
      <c r="O228" s="75">
        <v>405398</v>
      </c>
      <c r="P228" s="47"/>
      <c r="Q228" s="47"/>
    </row>
    <row r="229" s="3" customFormat="1" ht="19" customHeight="1" spans="1:17">
      <c r="A229" s="73">
        <v>28853</v>
      </c>
      <c r="B229" s="68" t="s">
        <v>195</v>
      </c>
      <c r="C229" s="70" t="s">
        <v>179</v>
      </c>
      <c r="D229" s="68">
        <v>28</v>
      </c>
      <c r="E229" s="70" t="s">
        <v>39</v>
      </c>
      <c r="F229" s="74">
        <v>5.75</v>
      </c>
      <c r="G229" s="71">
        <f t="shared" si="23"/>
        <v>161</v>
      </c>
      <c r="H229" s="68">
        <v>115</v>
      </c>
      <c r="I229" s="68">
        <v>28</v>
      </c>
      <c r="J229" s="68">
        <v>1</v>
      </c>
      <c r="K229" s="68">
        <v>11.76</v>
      </c>
      <c r="L229" s="68">
        <v>12.76</v>
      </c>
      <c r="M229" s="68">
        <f t="shared" si="22"/>
        <v>12.76</v>
      </c>
      <c r="N229" s="68" t="s">
        <v>180</v>
      </c>
      <c r="O229" s="75">
        <v>405398</v>
      </c>
      <c r="P229" s="47"/>
      <c r="Q229" s="47"/>
    </row>
    <row r="230" s="3" customFormat="1" ht="19" customHeight="1" spans="1:17">
      <c r="A230" s="73">
        <v>28853</v>
      </c>
      <c r="B230" s="68" t="s">
        <v>195</v>
      </c>
      <c r="C230" s="70" t="s">
        <v>179</v>
      </c>
      <c r="D230" s="68">
        <v>120</v>
      </c>
      <c r="E230" s="70" t="s">
        <v>39</v>
      </c>
      <c r="F230" s="74">
        <v>5.75</v>
      </c>
      <c r="G230" s="71">
        <f t="shared" si="23"/>
        <v>690</v>
      </c>
      <c r="H230" s="68">
        <v>115</v>
      </c>
      <c r="I230" s="68">
        <v>30</v>
      </c>
      <c r="J230" s="68">
        <f>D230/I230</f>
        <v>4</v>
      </c>
      <c r="K230" s="68">
        <v>12.6</v>
      </c>
      <c r="L230" s="68">
        <v>13.8</v>
      </c>
      <c r="M230" s="68">
        <f t="shared" si="22"/>
        <v>55.2</v>
      </c>
      <c r="N230" s="68" t="s">
        <v>180</v>
      </c>
      <c r="O230" s="75">
        <v>405398</v>
      </c>
      <c r="P230" s="47"/>
      <c r="Q230" s="47"/>
    </row>
    <row r="231" s="3" customFormat="1" ht="19" customHeight="1" spans="1:17">
      <c r="A231" s="73">
        <v>28857</v>
      </c>
      <c r="B231" s="68" t="s">
        <v>196</v>
      </c>
      <c r="C231" s="70" t="s">
        <v>179</v>
      </c>
      <c r="D231" s="68">
        <v>210</v>
      </c>
      <c r="E231" s="70" t="s">
        <v>39</v>
      </c>
      <c r="F231" s="74">
        <v>5.7</v>
      </c>
      <c r="G231" s="71">
        <f t="shared" si="23"/>
        <v>1197</v>
      </c>
      <c r="H231" s="68">
        <v>115</v>
      </c>
      <c r="I231" s="68">
        <v>30</v>
      </c>
      <c r="J231" s="68">
        <f>D231/I231</f>
        <v>7</v>
      </c>
      <c r="K231" s="68">
        <v>11.4</v>
      </c>
      <c r="L231" s="68">
        <v>12.6</v>
      </c>
      <c r="M231" s="68">
        <f t="shared" si="22"/>
        <v>88.2</v>
      </c>
      <c r="N231" s="68" t="s">
        <v>180</v>
      </c>
      <c r="O231" s="75">
        <v>405398</v>
      </c>
      <c r="P231" s="47"/>
      <c r="Q231" s="47"/>
    </row>
    <row r="232" s="3" customFormat="1" ht="19" customHeight="1" spans="1:17">
      <c r="A232" s="73">
        <v>28893</v>
      </c>
      <c r="B232" s="68" t="s">
        <v>197</v>
      </c>
      <c r="C232" s="70" t="s">
        <v>179</v>
      </c>
      <c r="D232" s="68">
        <v>180</v>
      </c>
      <c r="E232" s="70" t="s">
        <v>39</v>
      </c>
      <c r="F232" s="74">
        <v>5.6</v>
      </c>
      <c r="G232" s="71">
        <f t="shared" si="23"/>
        <v>1008</v>
      </c>
      <c r="H232" s="68">
        <v>115</v>
      </c>
      <c r="I232" s="68">
        <v>30</v>
      </c>
      <c r="J232" s="68">
        <f>D232/I232</f>
        <v>6</v>
      </c>
      <c r="K232" s="68">
        <v>13.2</v>
      </c>
      <c r="L232" s="68">
        <v>14.4</v>
      </c>
      <c r="M232" s="68">
        <f t="shared" si="22"/>
        <v>86.4</v>
      </c>
      <c r="N232" s="68" t="s">
        <v>180</v>
      </c>
      <c r="O232" s="75">
        <v>405398</v>
      </c>
      <c r="P232" s="47"/>
      <c r="Q232" s="47"/>
    </row>
    <row r="233" s="3" customFormat="1" ht="19" customHeight="1" spans="1:17">
      <c r="A233" s="73">
        <v>28588</v>
      </c>
      <c r="B233" s="68" t="s">
        <v>182</v>
      </c>
      <c r="C233" s="70" t="s">
        <v>179</v>
      </c>
      <c r="D233" s="68">
        <v>10</v>
      </c>
      <c r="E233" s="70" t="s">
        <v>39</v>
      </c>
      <c r="F233" s="74">
        <v>5.65</v>
      </c>
      <c r="G233" s="71">
        <f t="shared" si="23"/>
        <v>56.5</v>
      </c>
      <c r="H233" s="80">
        <v>115</v>
      </c>
      <c r="I233" s="80">
        <v>30</v>
      </c>
      <c r="J233" s="80">
        <v>1</v>
      </c>
      <c r="K233" s="80">
        <v>16.07</v>
      </c>
      <c r="L233" s="80">
        <v>17.07</v>
      </c>
      <c r="M233" s="80">
        <f t="shared" si="22"/>
        <v>17.07</v>
      </c>
      <c r="N233" s="80" t="s">
        <v>180</v>
      </c>
      <c r="O233" s="75">
        <v>405398</v>
      </c>
      <c r="P233" s="47">
        <v>5.4</v>
      </c>
      <c r="Q233" s="47"/>
    </row>
    <row r="234" s="3" customFormat="1" ht="19" customHeight="1" spans="1:17">
      <c r="A234" s="73">
        <v>28712</v>
      </c>
      <c r="B234" s="68" t="s">
        <v>187</v>
      </c>
      <c r="C234" s="70" t="s">
        <v>179</v>
      </c>
      <c r="D234" s="68">
        <v>19</v>
      </c>
      <c r="E234" s="70" t="s">
        <v>39</v>
      </c>
      <c r="F234" s="74">
        <v>5.7</v>
      </c>
      <c r="G234" s="71">
        <f t="shared" si="23"/>
        <v>108.3</v>
      </c>
      <c r="H234" s="81"/>
      <c r="I234" s="81"/>
      <c r="J234" s="81"/>
      <c r="K234" s="81"/>
      <c r="L234" s="81"/>
      <c r="M234" s="81"/>
      <c r="N234" s="81"/>
      <c r="O234" s="75">
        <v>405398</v>
      </c>
      <c r="P234" s="47">
        <v>10.07</v>
      </c>
      <c r="Q234" s="47"/>
    </row>
    <row r="235" s="3" customFormat="1" ht="19" customHeight="1" spans="1:17">
      <c r="A235" s="73">
        <v>28753</v>
      </c>
      <c r="B235" s="73">
        <v>593920</v>
      </c>
      <c r="C235" s="70" t="s">
        <v>179</v>
      </c>
      <c r="D235" s="68">
        <v>1</v>
      </c>
      <c r="E235" s="70" t="s">
        <v>39</v>
      </c>
      <c r="F235" s="74">
        <v>5.7</v>
      </c>
      <c r="G235" s="71">
        <f t="shared" si="23"/>
        <v>5.7</v>
      </c>
      <c r="H235" s="79"/>
      <c r="I235" s="79"/>
      <c r="J235" s="79"/>
      <c r="K235" s="79"/>
      <c r="L235" s="79"/>
      <c r="M235" s="79"/>
      <c r="N235" s="79"/>
      <c r="O235" s="75">
        <v>405398</v>
      </c>
      <c r="P235" s="47">
        <v>0.6</v>
      </c>
      <c r="Q235" s="47"/>
    </row>
    <row r="236" s="3" customFormat="1" ht="19" customHeight="1" spans="1:17">
      <c r="A236" s="73">
        <v>28621</v>
      </c>
      <c r="B236" s="68" t="s">
        <v>184</v>
      </c>
      <c r="C236" s="70" t="s">
        <v>179</v>
      </c>
      <c r="D236" s="68">
        <v>28</v>
      </c>
      <c r="E236" s="70" t="s">
        <v>39</v>
      </c>
      <c r="F236" s="74">
        <v>5.7</v>
      </c>
      <c r="G236" s="71">
        <f t="shared" si="23"/>
        <v>159.6</v>
      </c>
      <c r="H236" s="80">
        <v>115</v>
      </c>
      <c r="I236" s="80">
        <v>30</v>
      </c>
      <c r="J236" s="80">
        <v>1</v>
      </c>
      <c r="K236" s="80">
        <v>14.56</v>
      </c>
      <c r="L236" s="80">
        <v>15.56</v>
      </c>
      <c r="M236" s="80">
        <f>L236*J236</f>
        <v>15.56</v>
      </c>
      <c r="N236" s="80" t="s">
        <v>180</v>
      </c>
      <c r="O236" s="75">
        <v>405398</v>
      </c>
      <c r="P236" s="47">
        <v>13.72</v>
      </c>
      <c r="Q236" s="47"/>
    </row>
    <row r="237" s="3" customFormat="1" ht="19" customHeight="1" spans="1:17">
      <c r="A237" s="73">
        <v>28681</v>
      </c>
      <c r="B237" s="68" t="s">
        <v>198</v>
      </c>
      <c r="C237" s="70" t="s">
        <v>179</v>
      </c>
      <c r="D237" s="68">
        <v>2</v>
      </c>
      <c r="E237" s="70" t="s">
        <v>39</v>
      </c>
      <c r="F237" s="74">
        <v>5.75</v>
      </c>
      <c r="G237" s="71">
        <f t="shared" si="23"/>
        <v>11.5</v>
      </c>
      <c r="H237" s="79"/>
      <c r="I237" s="79"/>
      <c r="J237" s="79"/>
      <c r="K237" s="79"/>
      <c r="L237" s="79"/>
      <c r="M237" s="79"/>
      <c r="N237" s="79"/>
      <c r="O237" s="75">
        <v>405398</v>
      </c>
      <c r="P237" s="47">
        <v>0.84</v>
      </c>
      <c r="Q237" s="47"/>
    </row>
    <row r="238" s="3" customFormat="1" ht="19" customHeight="1" spans="1:17">
      <c r="A238" s="73">
        <v>28795</v>
      </c>
      <c r="B238" s="107" t="s">
        <v>199</v>
      </c>
      <c r="C238" s="70" t="s">
        <v>179</v>
      </c>
      <c r="D238" s="107">
        <v>18</v>
      </c>
      <c r="E238" s="70" t="s">
        <v>39</v>
      </c>
      <c r="F238" s="74">
        <v>5.75</v>
      </c>
      <c r="G238" s="71">
        <f t="shared" si="23"/>
        <v>103.5</v>
      </c>
      <c r="H238" s="80">
        <v>115</v>
      </c>
      <c r="I238" s="80">
        <v>30</v>
      </c>
      <c r="J238" s="80">
        <v>1</v>
      </c>
      <c r="K238" s="80">
        <v>13.9</v>
      </c>
      <c r="L238" s="80">
        <v>14.9</v>
      </c>
      <c r="M238" s="80">
        <f>L238*J238</f>
        <v>14.9</v>
      </c>
      <c r="N238" s="80" t="s">
        <v>180</v>
      </c>
      <c r="O238" s="75">
        <v>405398</v>
      </c>
      <c r="P238" s="47">
        <v>9.4536</v>
      </c>
      <c r="Q238" s="47"/>
    </row>
    <row r="239" s="3" customFormat="1" ht="19" customHeight="1" spans="1:17">
      <c r="A239" s="73">
        <v>28612</v>
      </c>
      <c r="B239" s="73">
        <v>39339</v>
      </c>
      <c r="C239" s="70" t="s">
        <v>179</v>
      </c>
      <c r="D239" s="68">
        <v>12</v>
      </c>
      <c r="E239" s="70" t="s">
        <v>39</v>
      </c>
      <c r="F239" s="74">
        <v>5.75</v>
      </c>
      <c r="G239" s="71">
        <f t="shared" si="23"/>
        <v>69</v>
      </c>
      <c r="H239" s="79"/>
      <c r="I239" s="79"/>
      <c r="J239" s="79"/>
      <c r="K239" s="79"/>
      <c r="L239" s="79"/>
      <c r="M239" s="79"/>
      <c r="N239" s="79"/>
      <c r="O239" s="75">
        <v>405398</v>
      </c>
      <c r="P239" s="47">
        <v>4.44</v>
      </c>
      <c r="Q239" s="47"/>
    </row>
    <row r="240" s="3" customFormat="1" ht="19" customHeight="1" spans="1:17">
      <c r="A240" s="73">
        <v>28806</v>
      </c>
      <c r="B240" s="68" t="s">
        <v>200</v>
      </c>
      <c r="C240" s="70" t="s">
        <v>179</v>
      </c>
      <c r="D240" s="68">
        <v>26</v>
      </c>
      <c r="E240" s="70" t="s">
        <v>39</v>
      </c>
      <c r="F240" s="74">
        <v>5.75</v>
      </c>
      <c r="G240" s="71">
        <f t="shared" ref="G240:G248" si="24">F240*D240</f>
        <v>149.5</v>
      </c>
      <c r="H240" s="80">
        <v>115</v>
      </c>
      <c r="I240" s="80">
        <v>30</v>
      </c>
      <c r="J240" s="80">
        <v>1</v>
      </c>
      <c r="K240" s="80">
        <v>12.66</v>
      </c>
      <c r="L240" s="80">
        <v>13.66</v>
      </c>
      <c r="M240" s="80">
        <f>L240*J240</f>
        <v>13.66</v>
      </c>
      <c r="N240" s="80" t="s">
        <v>180</v>
      </c>
      <c r="O240" s="75">
        <v>405398</v>
      </c>
      <c r="P240" s="47">
        <v>10.01</v>
      </c>
      <c r="Q240" s="47"/>
    </row>
    <row r="241" s="3" customFormat="1" ht="19" customHeight="1" spans="1:17">
      <c r="A241" s="73">
        <v>28961</v>
      </c>
      <c r="B241" s="68" t="s">
        <v>201</v>
      </c>
      <c r="C241" s="70" t="s">
        <v>179</v>
      </c>
      <c r="D241" s="68">
        <v>4</v>
      </c>
      <c r="E241" s="70" t="s">
        <v>39</v>
      </c>
      <c r="F241" s="74">
        <v>5.75</v>
      </c>
      <c r="G241" s="71">
        <f t="shared" si="24"/>
        <v>23</v>
      </c>
      <c r="H241" s="79"/>
      <c r="I241" s="79"/>
      <c r="J241" s="79"/>
      <c r="K241" s="79"/>
      <c r="L241" s="79"/>
      <c r="M241" s="79"/>
      <c r="N241" s="79"/>
      <c r="O241" s="75">
        <v>405398</v>
      </c>
      <c r="P241" s="47">
        <v>2.656</v>
      </c>
      <c r="Q241" s="47"/>
    </row>
    <row r="242" s="3" customFormat="1" ht="19" customHeight="1" spans="1:17">
      <c r="A242" s="73">
        <v>28602</v>
      </c>
      <c r="B242" s="73">
        <v>391009</v>
      </c>
      <c r="C242" s="70" t="s">
        <v>179</v>
      </c>
      <c r="D242" s="68">
        <v>23</v>
      </c>
      <c r="E242" s="70" t="s">
        <v>39</v>
      </c>
      <c r="F242" s="74">
        <v>5.6</v>
      </c>
      <c r="G242" s="71">
        <f t="shared" si="24"/>
        <v>128.8</v>
      </c>
      <c r="H242" s="80">
        <v>115</v>
      </c>
      <c r="I242" s="80">
        <v>30</v>
      </c>
      <c r="J242" s="80">
        <v>1</v>
      </c>
      <c r="K242" s="80">
        <v>13.7</v>
      </c>
      <c r="L242" s="80">
        <v>14.7</v>
      </c>
      <c r="M242" s="80">
        <f>L242*J242</f>
        <v>14.7</v>
      </c>
      <c r="N242" s="80" t="s">
        <v>180</v>
      </c>
      <c r="O242" s="75">
        <v>405398</v>
      </c>
      <c r="P242" s="47">
        <v>11.04</v>
      </c>
      <c r="Q242" s="47"/>
    </row>
    <row r="243" s="3" customFormat="1" ht="19" customHeight="1" spans="1:17">
      <c r="A243" s="73">
        <v>28685</v>
      </c>
      <c r="B243" s="68" t="s">
        <v>202</v>
      </c>
      <c r="C243" s="70" t="s">
        <v>179</v>
      </c>
      <c r="D243" s="68">
        <v>7</v>
      </c>
      <c r="E243" s="70" t="s">
        <v>39</v>
      </c>
      <c r="F243" s="74">
        <v>5.75</v>
      </c>
      <c r="G243" s="71">
        <f t="shared" si="24"/>
        <v>40.25</v>
      </c>
      <c r="H243" s="79"/>
      <c r="I243" s="79"/>
      <c r="J243" s="79"/>
      <c r="K243" s="79"/>
      <c r="L243" s="79"/>
      <c r="M243" s="79"/>
      <c r="N243" s="79"/>
      <c r="O243" s="75">
        <v>405398</v>
      </c>
      <c r="P243" s="47">
        <v>2.66</v>
      </c>
      <c r="Q243" s="47"/>
    </row>
    <row r="244" s="3" customFormat="1" ht="19" customHeight="1" spans="1:17">
      <c r="A244" s="73">
        <v>28653</v>
      </c>
      <c r="B244" s="73" t="s">
        <v>185</v>
      </c>
      <c r="C244" s="70" t="s">
        <v>179</v>
      </c>
      <c r="D244" s="68">
        <v>25</v>
      </c>
      <c r="E244" s="70" t="s">
        <v>39</v>
      </c>
      <c r="F244" s="74">
        <v>5.6</v>
      </c>
      <c r="G244" s="71">
        <f t="shared" si="24"/>
        <v>140</v>
      </c>
      <c r="H244" s="80">
        <v>115</v>
      </c>
      <c r="I244" s="80">
        <v>30</v>
      </c>
      <c r="J244" s="80">
        <v>1</v>
      </c>
      <c r="K244" s="80">
        <v>14.75</v>
      </c>
      <c r="L244" s="80">
        <v>15.75</v>
      </c>
      <c r="M244" s="80">
        <f t="shared" ref="M244:M248" si="25">L244*J244</f>
        <v>15.75</v>
      </c>
      <c r="N244" s="80" t="s">
        <v>180</v>
      </c>
      <c r="O244" s="75">
        <v>405398</v>
      </c>
      <c r="P244" s="47">
        <v>12.3</v>
      </c>
      <c r="Q244" s="47"/>
    </row>
    <row r="245" s="3" customFormat="1" ht="19" customHeight="1" spans="1:17">
      <c r="A245" s="73">
        <v>28583</v>
      </c>
      <c r="B245" s="68" t="s">
        <v>181</v>
      </c>
      <c r="C245" s="70" t="s">
        <v>179</v>
      </c>
      <c r="D245" s="68">
        <v>5</v>
      </c>
      <c r="E245" s="70" t="s">
        <v>39</v>
      </c>
      <c r="F245" s="74">
        <v>5.6</v>
      </c>
      <c r="G245" s="71">
        <f t="shared" si="24"/>
        <v>28</v>
      </c>
      <c r="H245" s="79"/>
      <c r="I245" s="79"/>
      <c r="J245" s="79"/>
      <c r="K245" s="79"/>
      <c r="L245" s="79"/>
      <c r="M245" s="79"/>
      <c r="N245" s="79"/>
      <c r="O245" s="75">
        <v>405398</v>
      </c>
      <c r="P245" s="47">
        <v>2.45</v>
      </c>
      <c r="Q245" s="47"/>
    </row>
    <row r="246" s="3" customFormat="1" ht="19" customHeight="1" spans="1:17">
      <c r="A246" s="73">
        <v>28759</v>
      </c>
      <c r="B246" s="68" t="s">
        <v>203</v>
      </c>
      <c r="C246" s="70" t="s">
        <v>179</v>
      </c>
      <c r="D246" s="68">
        <v>16</v>
      </c>
      <c r="E246" s="70" t="s">
        <v>39</v>
      </c>
      <c r="F246" s="74">
        <v>5.75</v>
      </c>
      <c r="G246" s="71">
        <f t="shared" si="24"/>
        <v>92</v>
      </c>
      <c r="H246" s="80">
        <v>115</v>
      </c>
      <c r="I246" s="80">
        <v>30</v>
      </c>
      <c r="J246" s="80">
        <v>1</v>
      </c>
      <c r="K246" s="80">
        <v>14.48</v>
      </c>
      <c r="L246" s="80">
        <v>15.48</v>
      </c>
      <c r="M246" s="80">
        <f t="shared" si="25"/>
        <v>15.48</v>
      </c>
      <c r="N246" s="80" t="s">
        <v>180</v>
      </c>
      <c r="O246" s="75">
        <v>405398</v>
      </c>
      <c r="P246" s="47">
        <v>8.32</v>
      </c>
      <c r="Q246" s="47"/>
    </row>
    <row r="247" s="3" customFormat="1" ht="19" customHeight="1" spans="1:17">
      <c r="A247" s="73">
        <v>28893</v>
      </c>
      <c r="B247" s="68" t="s">
        <v>197</v>
      </c>
      <c r="C247" s="70" t="s">
        <v>179</v>
      </c>
      <c r="D247" s="68">
        <v>14</v>
      </c>
      <c r="E247" s="70" t="s">
        <v>39</v>
      </c>
      <c r="F247" s="74">
        <v>5.6</v>
      </c>
      <c r="G247" s="71">
        <f t="shared" si="24"/>
        <v>78.4</v>
      </c>
      <c r="H247" s="79"/>
      <c r="I247" s="79"/>
      <c r="J247" s="79"/>
      <c r="K247" s="79"/>
      <c r="L247" s="79"/>
      <c r="M247" s="79"/>
      <c r="N247" s="79"/>
      <c r="O247" s="75">
        <v>405398</v>
      </c>
      <c r="P247" s="47">
        <v>6.16</v>
      </c>
      <c r="Q247" s="47"/>
    </row>
    <row r="248" s="3" customFormat="1" ht="19" customHeight="1" spans="1:17">
      <c r="A248" s="73">
        <v>28581</v>
      </c>
      <c r="B248" s="68" t="s">
        <v>178</v>
      </c>
      <c r="C248" s="70" t="s">
        <v>179</v>
      </c>
      <c r="D248" s="68">
        <v>8</v>
      </c>
      <c r="E248" s="70" t="s">
        <v>39</v>
      </c>
      <c r="F248" s="74">
        <v>5.6</v>
      </c>
      <c r="G248" s="71">
        <f t="shared" si="24"/>
        <v>44.8</v>
      </c>
      <c r="H248" s="80">
        <v>115</v>
      </c>
      <c r="I248" s="80">
        <v>23</v>
      </c>
      <c r="J248" s="80">
        <v>1</v>
      </c>
      <c r="K248" s="80">
        <v>11.02</v>
      </c>
      <c r="L248" s="80">
        <v>12.02</v>
      </c>
      <c r="M248" s="80">
        <f t="shared" si="25"/>
        <v>12.02</v>
      </c>
      <c r="N248" s="80" t="s">
        <v>204</v>
      </c>
      <c r="O248" s="75">
        <v>405398</v>
      </c>
      <c r="P248" s="47">
        <v>3.6</v>
      </c>
      <c r="Q248" s="47"/>
    </row>
    <row r="249" s="3" customFormat="1" ht="19" customHeight="1" spans="1:17">
      <c r="A249" s="73">
        <v>28823</v>
      </c>
      <c r="B249" s="68" t="s">
        <v>205</v>
      </c>
      <c r="C249" s="70" t="s">
        <v>179</v>
      </c>
      <c r="D249" s="68">
        <v>15</v>
      </c>
      <c r="E249" s="70" t="s">
        <v>39</v>
      </c>
      <c r="F249" s="74">
        <v>5.75</v>
      </c>
      <c r="G249" s="71">
        <f t="shared" ref="G249:G254" si="26">F249*D249</f>
        <v>86.25</v>
      </c>
      <c r="H249" s="79"/>
      <c r="I249" s="79"/>
      <c r="J249" s="79"/>
      <c r="K249" s="79"/>
      <c r="L249" s="79"/>
      <c r="M249" s="79"/>
      <c r="N249" s="79"/>
      <c r="O249" s="75">
        <v>405398</v>
      </c>
      <c r="P249" s="47">
        <v>7.425</v>
      </c>
      <c r="Q249" s="47"/>
    </row>
    <row r="250" s="3" customFormat="1" ht="19" customHeight="1" spans="1:17">
      <c r="A250" s="73">
        <v>28643</v>
      </c>
      <c r="B250" s="68" t="s">
        <v>206</v>
      </c>
      <c r="C250" s="70" t="s">
        <v>179</v>
      </c>
      <c r="D250" s="68">
        <v>12</v>
      </c>
      <c r="E250" s="70" t="s">
        <v>39</v>
      </c>
      <c r="F250" s="74">
        <v>5.75</v>
      </c>
      <c r="G250" s="71">
        <f t="shared" si="26"/>
        <v>69</v>
      </c>
      <c r="H250" s="80">
        <v>115</v>
      </c>
      <c r="I250" s="80">
        <v>30</v>
      </c>
      <c r="J250" s="80">
        <v>1</v>
      </c>
      <c r="K250" s="80">
        <v>14.4</v>
      </c>
      <c r="L250" s="80">
        <v>15.4</v>
      </c>
      <c r="M250" s="80">
        <f>L250*J250</f>
        <v>15.4</v>
      </c>
      <c r="N250" s="80" t="s">
        <v>180</v>
      </c>
      <c r="O250" s="75">
        <v>405398</v>
      </c>
      <c r="P250" s="47">
        <v>6.36</v>
      </c>
      <c r="Q250" s="47"/>
    </row>
    <row r="251" s="3" customFormat="1" ht="19" customHeight="1" spans="1:17">
      <c r="A251" s="73">
        <v>28694</v>
      </c>
      <c r="B251" s="68" t="s">
        <v>207</v>
      </c>
      <c r="C251" s="70" t="s">
        <v>179</v>
      </c>
      <c r="D251" s="68">
        <v>12</v>
      </c>
      <c r="E251" s="70" t="s">
        <v>39</v>
      </c>
      <c r="F251" s="74">
        <v>5.75</v>
      </c>
      <c r="G251" s="71">
        <f t="shared" si="26"/>
        <v>69</v>
      </c>
      <c r="H251" s="81"/>
      <c r="I251" s="81"/>
      <c r="J251" s="81"/>
      <c r="K251" s="81"/>
      <c r="L251" s="81"/>
      <c r="M251" s="81"/>
      <c r="N251" s="81"/>
      <c r="O251" s="75">
        <v>405398</v>
      </c>
      <c r="P251" s="47">
        <v>4.8624</v>
      </c>
      <c r="Q251" s="47"/>
    </row>
    <row r="252" s="3" customFormat="1" ht="19" customHeight="1" spans="1:17">
      <c r="A252" s="73">
        <v>28732</v>
      </c>
      <c r="B252" s="68" t="s">
        <v>208</v>
      </c>
      <c r="C252" s="70" t="s">
        <v>179</v>
      </c>
      <c r="D252" s="68">
        <v>6</v>
      </c>
      <c r="E252" s="70" t="s">
        <v>39</v>
      </c>
      <c r="F252" s="74">
        <v>2.75</v>
      </c>
      <c r="G252" s="71">
        <f t="shared" si="26"/>
        <v>16.5</v>
      </c>
      <c r="H252" s="79"/>
      <c r="I252" s="79"/>
      <c r="J252" s="79"/>
      <c r="K252" s="79"/>
      <c r="L252" s="79"/>
      <c r="M252" s="79"/>
      <c r="N252" s="79"/>
      <c r="O252" s="75">
        <v>405398</v>
      </c>
      <c r="P252" s="47">
        <v>3.12</v>
      </c>
      <c r="Q252" s="47"/>
    </row>
    <row r="253" s="3" customFormat="1" ht="19" customHeight="1" spans="1:17">
      <c r="A253" s="73" t="s">
        <v>209</v>
      </c>
      <c r="B253" s="68" t="s">
        <v>210</v>
      </c>
      <c r="C253" s="70" t="s">
        <v>179</v>
      </c>
      <c r="D253" s="68">
        <v>21</v>
      </c>
      <c r="E253" s="70" t="s">
        <v>39</v>
      </c>
      <c r="F253" s="74">
        <v>5.75</v>
      </c>
      <c r="G253" s="71">
        <f t="shared" si="26"/>
        <v>120.75</v>
      </c>
      <c r="H253" s="80">
        <v>115</v>
      </c>
      <c r="I253" s="80">
        <v>30</v>
      </c>
      <c r="J253" s="80">
        <v>1</v>
      </c>
      <c r="K253" s="80">
        <v>14.5</v>
      </c>
      <c r="L253" s="80">
        <v>15.5</v>
      </c>
      <c r="M253" s="80">
        <f>L253*J253</f>
        <v>15.5</v>
      </c>
      <c r="N253" s="80" t="s">
        <v>180</v>
      </c>
      <c r="O253" s="75">
        <v>405398</v>
      </c>
      <c r="P253" s="47">
        <v>11</v>
      </c>
      <c r="Q253" s="47"/>
    </row>
    <row r="254" s="3" customFormat="1" ht="19" customHeight="1" spans="1:17">
      <c r="A254" s="73">
        <v>28619</v>
      </c>
      <c r="B254" s="68" t="s">
        <v>183</v>
      </c>
      <c r="C254" s="70" t="s">
        <v>179</v>
      </c>
      <c r="D254" s="68">
        <v>9</v>
      </c>
      <c r="E254" s="70" t="s">
        <v>39</v>
      </c>
      <c r="F254" s="74">
        <v>5.65</v>
      </c>
      <c r="G254" s="71">
        <f t="shared" si="26"/>
        <v>50.85</v>
      </c>
      <c r="H254" s="79"/>
      <c r="I254" s="79"/>
      <c r="J254" s="79"/>
      <c r="K254" s="79"/>
      <c r="L254" s="79"/>
      <c r="M254" s="79"/>
      <c r="N254" s="79"/>
      <c r="O254" s="75">
        <v>405398</v>
      </c>
      <c r="P254" s="47">
        <v>3.474</v>
      </c>
      <c r="Q254" s="47"/>
    </row>
    <row r="255" s="3" customFormat="1" ht="19" customHeight="1" spans="1:17">
      <c r="A255" s="73">
        <v>28773</v>
      </c>
      <c r="B255" s="68" t="s">
        <v>211</v>
      </c>
      <c r="C255" s="70" t="s">
        <v>179</v>
      </c>
      <c r="D255" s="68">
        <v>3</v>
      </c>
      <c r="E255" s="70" t="s">
        <v>39</v>
      </c>
      <c r="F255" s="74">
        <v>5.75</v>
      </c>
      <c r="G255" s="71">
        <f t="shared" ref="G255:G286" si="27">F255*D255</f>
        <v>17.25</v>
      </c>
      <c r="H255" s="80">
        <v>115</v>
      </c>
      <c r="I255" s="80">
        <v>30</v>
      </c>
      <c r="J255" s="80">
        <v>1</v>
      </c>
      <c r="K255" s="80">
        <v>15.4</v>
      </c>
      <c r="L255" s="80">
        <v>16.4</v>
      </c>
      <c r="M255" s="80">
        <f>L255*J255</f>
        <v>16.4</v>
      </c>
      <c r="N255" s="80" t="s">
        <v>180</v>
      </c>
      <c r="O255" s="75">
        <v>405398</v>
      </c>
      <c r="P255" s="47">
        <v>1.62</v>
      </c>
      <c r="Q255" s="47"/>
    </row>
    <row r="256" s="3" customFormat="1" ht="19" customHeight="1" spans="1:17">
      <c r="A256" s="73" t="s">
        <v>212</v>
      </c>
      <c r="B256" s="68" t="s">
        <v>213</v>
      </c>
      <c r="C256" s="70" t="s">
        <v>179</v>
      </c>
      <c r="D256" s="68">
        <v>4</v>
      </c>
      <c r="E256" s="70" t="s">
        <v>39</v>
      </c>
      <c r="F256" s="74">
        <v>5.6</v>
      </c>
      <c r="G256" s="71">
        <f t="shared" si="27"/>
        <v>22.4</v>
      </c>
      <c r="H256" s="81"/>
      <c r="I256" s="81"/>
      <c r="J256" s="81"/>
      <c r="K256" s="81"/>
      <c r="L256" s="81"/>
      <c r="M256" s="81"/>
      <c r="N256" s="81"/>
      <c r="O256" s="75">
        <v>405398</v>
      </c>
      <c r="P256" s="47">
        <v>2</v>
      </c>
      <c r="Q256" s="47"/>
    </row>
    <row r="257" s="3" customFormat="1" ht="19" customHeight="1" spans="1:17">
      <c r="A257" s="73">
        <v>28622</v>
      </c>
      <c r="B257" s="68" t="s">
        <v>214</v>
      </c>
      <c r="C257" s="70" t="s">
        <v>179</v>
      </c>
      <c r="D257" s="68">
        <v>4</v>
      </c>
      <c r="E257" s="70" t="s">
        <v>39</v>
      </c>
      <c r="F257" s="74">
        <v>5.75</v>
      </c>
      <c r="G257" s="71">
        <f t="shared" si="27"/>
        <v>23</v>
      </c>
      <c r="H257" s="81"/>
      <c r="I257" s="81"/>
      <c r="J257" s="81"/>
      <c r="K257" s="81"/>
      <c r="L257" s="81"/>
      <c r="M257" s="81"/>
      <c r="N257" s="81"/>
      <c r="O257" s="75">
        <v>405398</v>
      </c>
      <c r="P257" s="47">
        <v>2.2208</v>
      </c>
      <c r="Q257" s="47"/>
    </row>
    <row r="258" s="3" customFormat="1" ht="19" customHeight="1" spans="1:17">
      <c r="A258" s="73">
        <v>28743</v>
      </c>
      <c r="B258" s="73" t="s">
        <v>215</v>
      </c>
      <c r="C258" s="70" t="s">
        <v>179</v>
      </c>
      <c r="D258" s="68">
        <v>4</v>
      </c>
      <c r="E258" s="70" t="s">
        <v>39</v>
      </c>
      <c r="F258" s="74">
        <v>5.75</v>
      </c>
      <c r="G258" s="71">
        <f t="shared" si="27"/>
        <v>23</v>
      </c>
      <c r="H258" s="81"/>
      <c r="I258" s="81"/>
      <c r="J258" s="81"/>
      <c r="K258" s="81"/>
      <c r="L258" s="81"/>
      <c r="M258" s="81"/>
      <c r="N258" s="81"/>
      <c r="O258" s="75">
        <v>405398</v>
      </c>
      <c r="P258" s="47">
        <v>2.2</v>
      </c>
      <c r="Q258" s="47"/>
    </row>
    <row r="259" s="3" customFormat="1" ht="19" customHeight="1" spans="1:17">
      <c r="A259" s="73">
        <v>28798</v>
      </c>
      <c r="B259" s="68" t="s">
        <v>193</v>
      </c>
      <c r="C259" s="70" t="s">
        <v>179</v>
      </c>
      <c r="D259" s="68">
        <v>15</v>
      </c>
      <c r="E259" s="70" t="s">
        <v>39</v>
      </c>
      <c r="F259" s="74">
        <v>5.75</v>
      </c>
      <c r="G259" s="71">
        <f t="shared" si="27"/>
        <v>86.25</v>
      </c>
      <c r="H259" s="79"/>
      <c r="I259" s="79"/>
      <c r="J259" s="79"/>
      <c r="K259" s="79"/>
      <c r="L259" s="79"/>
      <c r="M259" s="79"/>
      <c r="N259" s="79"/>
      <c r="O259" s="75">
        <v>405398</v>
      </c>
      <c r="P259" s="47">
        <v>7.35</v>
      </c>
      <c r="Q259" s="47"/>
    </row>
    <row r="260" s="3" customFormat="1" ht="19" customHeight="1" spans="1:17">
      <c r="A260" s="73">
        <v>28765</v>
      </c>
      <c r="B260" s="68" t="s">
        <v>189</v>
      </c>
      <c r="C260" s="70" t="s">
        <v>179</v>
      </c>
      <c r="D260" s="68">
        <v>21</v>
      </c>
      <c r="E260" s="70" t="s">
        <v>39</v>
      </c>
      <c r="F260" s="74">
        <v>5.7</v>
      </c>
      <c r="G260" s="71">
        <f t="shared" si="27"/>
        <v>119.7</v>
      </c>
      <c r="H260" s="80">
        <v>115</v>
      </c>
      <c r="I260" s="80">
        <v>30</v>
      </c>
      <c r="J260" s="80">
        <v>1</v>
      </c>
      <c r="K260" s="80">
        <v>11.9</v>
      </c>
      <c r="L260" s="80">
        <v>12.9</v>
      </c>
      <c r="M260" s="80">
        <f>L260*J260</f>
        <v>12.9</v>
      </c>
      <c r="N260" s="80" t="s">
        <v>180</v>
      </c>
      <c r="O260" s="75">
        <v>405398</v>
      </c>
      <c r="P260" s="47">
        <v>7.8792</v>
      </c>
      <c r="Q260" s="47"/>
    </row>
    <row r="261" s="3" customFormat="1" ht="19" customHeight="1" spans="1:17">
      <c r="A261" s="73">
        <v>28755</v>
      </c>
      <c r="B261" s="68" t="s">
        <v>216</v>
      </c>
      <c r="C261" s="70" t="s">
        <v>179</v>
      </c>
      <c r="D261" s="68">
        <v>4</v>
      </c>
      <c r="E261" s="70" t="s">
        <v>39</v>
      </c>
      <c r="F261" s="74">
        <v>5.75</v>
      </c>
      <c r="G261" s="71">
        <f t="shared" si="27"/>
        <v>23</v>
      </c>
      <c r="H261" s="81"/>
      <c r="I261" s="81"/>
      <c r="J261" s="81"/>
      <c r="K261" s="81"/>
      <c r="L261" s="81"/>
      <c r="M261" s="81"/>
      <c r="N261" s="81"/>
      <c r="O261" s="75">
        <v>405398</v>
      </c>
      <c r="P261" s="47">
        <v>1.6</v>
      </c>
      <c r="Q261" s="47"/>
    </row>
    <row r="262" s="3" customFormat="1" ht="19" customHeight="1" spans="1:17">
      <c r="A262" s="73">
        <v>28876</v>
      </c>
      <c r="B262" s="73" t="s">
        <v>217</v>
      </c>
      <c r="C262" s="70" t="s">
        <v>179</v>
      </c>
      <c r="D262" s="68">
        <v>5</v>
      </c>
      <c r="E262" s="70" t="s">
        <v>39</v>
      </c>
      <c r="F262" s="74">
        <v>5.75</v>
      </c>
      <c r="G262" s="71">
        <f t="shared" si="27"/>
        <v>28.75</v>
      </c>
      <c r="H262" s="81"/>
      <c r="I262" s="81"/>
      <c r="J262" s="81"/>
      <c r="K262" s="81"/>
      <c r="L262" s="81"/>
      <c r="M262" s="81"/>
      <c r="N262" s="81"/>
      <c r="O262" s="75">
        <v>405398</v>
      </c>
      <c r="P262" s="47">
        <v>2.4</v>
      </c>
      <c r="Q262" s="47"/>
    </row>
    <row r="263" s="3" customFormat="1" ht="19" customHeight="1" spans="1:17">
      <c r="A263" s="73">
        <v>28737</v>
      </c>
      <c r="B263" s="68" t="s">
        <v>188</v>
      </c>
      <c r="C263" s="70" t="s">
        <v>179</v>
      </c>
      <c r="D263" s="68">
        <v>23</v>
      </c>
      <c r="E263" s="70" t="s">
        <v>39</v>
      </c>
      <c r="F263" s="74">
        <v>5.6</v>
      </c>
      <c r="G263" s="71">
        <f t="shared" si="27"/>
        <v>128.8</v>
      </c>
      <c r="H263" s="80">
        <v>115</v>
      </c>
      <c r="I263" s="80">
        <v>30</v>
      </c>
      <c r="J263" s="80">
        <v>1</v>
      </c>
      <c r="K263" s="80">
        <v>12</v>
      </c>
      <c r="L263" s="80">
        <v>13</v>
      </c>
      <c r="M263" s="80">
        <f>L263*J263</f>
        <v>13</v>
      </c>
      <c r="N263" s="80" t="s">
        <v>180</v>
      </c>
      <c r="O263" s="75">
        <v>405398</v>
      </c>
      <c r="P263" s="47">
        <v>8.97</v>
      </c>
      <c r="Q263" s="47"/>
    </row>
    <row r="264" s="3" customFormat="1" ht="19" customHeight="1" spans="1:17">
      <c r="A264" s="73">
        <v>28857</v>
      </c>
      <c r="B264" s="68" t="s">
        <v>196</v>
      </c>
      <c r="C264" s="70" t="s">
        <v>179</v>
      </c>
      <c r="D264" s="68">
        <v>3</v>
      </c>
      <c r="E264" s="70" t="s">
        <v>39</v>
      </c>
      <c r="F264" s="74">
        <v>5.7</v>
      </c>
      <c r="G264" s="71">
        <f t="shared" si="27"/>
        <v>17.1</v>
      </c>
      <c r="H264" s="81"/>
      <c r="I264" s="81"/>
      <c r="J264" s="81"/>
      <c r="K264" s="81"/>
      <c r="L264" s="81"/>
      <c r="M264" s="81"/>
      <c r="N264" s="81"/>
      <c r="O264" s="75">
        <v>405398</v>
      </c>
      <c r="P264" s="47">
        <v>1.14</v>
      </c>
      <c r="Q264" s="47"/>
    </row>
    <row r="265" s="3" customFormat="1" ht="19" customHeight="1" spans="1:17">
      <c r="A265" s="73">
        <v>28808</v>
      </c>
      <c r="B265" s="73" t="s">
        <v>194</v>
      </c>
      <c r="C265" s="70" t="s">
        <v>179</v>
      </c>
      <c r="D265" s="68">
        <v>3</v>
      </c>
      <c r="E265" s="70" t="s">
        <v>39</v>
      </c>
      <c r="F265" s="74">
        <v>5.6</v>
      </c>
      <c r="G265" s="71">
        <f t="shared" si="27"/>
        <v>16.8</v>
      </c>
      <c r="H265" s="81"/>
      <c r="I265" s="81"/>
      <c r="J265" s="81"/>
      <c r="K265" s="81"/>
      <c r="L265" s="81"/>
      <c r="M265" s="81"/>
      <c r="N265" s="81"/>
      <c r="O265" s="75">
        <v>405398</v>
      </c>
      <c r="P265" s="47">
        <v>1.3956</v>
      </c>
      <c r="Q265" s="47"/>
    </row>
    <row r="266" s="3" customFormat="1" ht="19" customHeight="1" spans="1:17">
      <c r="A266" s="73">
        <v>28876</v>
      </c>
      <c r="B266" s="73" t="s">
        <v>217</v>
      </c>
      <c r="C266" s="70" t="s">
        <v>179</v>
      </c>
      <c r="D266" s="68">
        <v>1</v>
      </c>
      <c r="E266" s="70" t="s">
        <v>39</v>
      </c>
      <c r="F266" s="74">
        <v>5.75</v>
      </c>
      <c r="G266" s="71">
        <f t="shared" si="27"/>
        <v>5.75</v>
      </c>
      <c r="H266" s="79"/>
      <c r="I266" s="79"/>
      <c r="J266" s="79"/>
      <c r="K266" s="79"/>
      <c r="L266" s="79"/>
      <c r="M266" s="79"/>
      <c r="N266" s="79"/>
      <c r="O266" s="75">
        <v>405398</v>
      </c>
      <c r="P266" s="47">
        <v>0.48</v>
      </c>
      <c r="Q266" s="47"/>
    </row>
    <row r="267" s="3" customFormat="1" ht="19" customHeight="1" spans="1:17">
      <c r="A267" s="73">
        <v>28689</v>
      </c>
      <c r="B267" s="73">
        <v>595239</v>
      </c>
      <c r="C267" s="70" t="s">
        <v>179</v>
      </c>
      <c r="D267" s="68">
        <v>9</v>
      </c>
      <c r="E267" s="70" t="s">
        <v>39</v>
      </c>
      <c r="F267" s="74">
        <v>5.75</v>
      </c>
      <c r="G267" s="71">
        <f t="shared" si="27"/>
        <v>51.75</v>
      </c>
      <c r="H267" s="80">
        <v>115</v>
      </c>
      <c r="I267" s="80">
        <v>30</v>
      </c>
      <c r="J267" s="80">
        <v>1</v>
      </c>
      <c r="K267" s="80">
        <v>14.41</v>
      </c>
      <c r="L267" s="80">
        <v>15.41</v>
      </c>
      <c r="M267" s="80">
        <f>L267*J267</f>
        <v>15.41</v>
      </c>
      <c r="N267" s="80" t="s">
        <v>180</v>
      </c>
      <c r="O267" s="75">
        <v>405398</v>
      </c>
      <c r="P267" s="47">
        <v>4.14</v>
      </c>
      <c r="Q267" s="47"/>
    </row>
    <row r="268" s="3" customFormat="1" ht="19" customHeight="1" spans="1:17">
      <c r="A268" s="73">
        <v>28648</v>
      </c>
      <c r="B268" s="68" t="s">
        <v>218</v>
      </c>
      <c r="C268" s="70" t="s">
        <v>179</v>
      </c>
      <c r="D268" s="68">
        <v>16</v>
      </c>
      <c r="E268" s="70" t="s">
        <v>39</v>
      </c>
      <c r="F268" s="74">
        <v>5.75</v>
      </c>
      <c r="G268" s="71">
        <f t="shared" si="27"/>
        <v>92</v>
      </c>
      <c r="H268" s="81"/>
      <c r="I268" s="81"/>
      <c r="J268" s="81"/>
      <c r="K268" s="81"/>
      <c r="L268" s="81"/>
      <c r="M268" s="81"/>
      <c r="N268" s="81"/>
      <c r="O268" s="75">
        <v>405398</v>
      </c>
      <c r="P268" s="47">
        <v>7.52</v>
      </c>
      <c r="Q268" s="47"/>
    </row>
    <row r="269" s="3" customFormat="1" ht="19" customHeight="1" spans="1:17">
      <c r="A269" s="73">
        <v>28758</v>
      </c>
      <c r="B269" s="68" t="s">
        <v>219</v>
      </c>
      <c r="C269" s="70" t="s">
        <v>179</v>
      </c>
      <c r="D269" s="68">
        <v>5</v>
      </c>
      <c r="E269" s="70" t="s">
        <v>39</v>
      </c>
      <c r="F269" s="74">
        <v>5.75</v>
      </c>
      <c r="G269" s="71">
        <f t="shared" si="27"/>
        <v>28.75</v>
      </c>
      <c r="H269" s="79"/>
      <c r="I269" s="79"/>
      <c r="J269" s="79"/>
      <c r="K269" s="79"/>
      <c r="L269" s="79"/>
      <c r="M269" s="79"/>
      <c r="N269" s="79"/>
      <c r="O269" s="75">
        <v>405398</v>
      </c>
      <c r="P269" s="47">
        <v>2.75</v>
      </c>
      <c r="Q269" s="47"/>
    </row>
    <row r="270" s="3" customFormat="1" ht="19" customHeight="1" spans="1:17">
      <c r="A270" s="73">
        <v>28791</v>
      </c>
      <c r="B270" s="73">
        <v>39323</v>
      </c>
      <c r="C270" s="70" t="s">
        <v>179</v>
      </c>
      <c r="D270" s="68">
        <v>8</v>
      </c>
      <c r="E270" s="70" t="s">
        <v>39</v>
      </c>
      <c r="F270" s="74">
        <v>5.6</v>
      </c>
      <c r="G270" s="71">
        <f t="shared" si="27"/>
        <v>44.8</v>
      </c>
      <c r="H270" s="80">
        <v>115</v>
      </c>
      <c r="I270" s="80">
        <v>30</v>
      </c>
      <c r="J270" s="80">
        <v>1</v>
      </c>
      <c r="K270" s="80">
        <v>16.86</v>
      </c>
      <c r="L270" s="80">
        <v>17.86</v>
      </c>
      <c r="M270" s="80">
        <f>L270*J270</f>
        <v>17.86</v>
      </c>
      <c r="N270" s="80" t="s">
        <v>180</v>
      </c>
      <c r="O270" s="75">
        <v>405398</v>
      </c>
      <c r="P270" s="47">
        <v>3.776</v>
      </c>
      <c r="Q270" s="47"/>
    </row>
    <row r="271" s="3" customFormat="1" ht="19" customHeight="1" spans="1:17">
      <c r="A271" s="73">
        <v>28754</v>
      </c>
      <c r="B271" s="68" t="s">
        <v>220</v>
      </c>
      <c r="C271" s="70" t="s">
        <v>179</v>
      </c>
      <c r="D271" s="68">
        <v>22</v>
      </c>
      <c r="E271" s="70" t="s">
        <v>39</v>
      </c>
      <c r="F271" s="74">
        <v>5.75</v>
      </c>
      <c r="G271" s="71">
        <f t="shared" si="27"/>
        <v>126.5</v>
      </c>
      <c r="H271" s="79"/>
      <c r="I271" s="79"/>
      <c r="J271" s="79"/>
      <c r="K271" s="79"/>
      <c r="L271" s="79"/>
      <c r="M271" s="79"/>
      <c r="N271" s="79"/>
      <c r="O271" s="75">
        <v>405398</v>
      </c>
      <c r="P271" s="47">
        <v>13.0856</v>
      </c>
      <c r="Q271" s="47"/>
    </row>
    <row r="272" s="3" customFormat="1" ht="19" customHeight="1" spans="1:17">
      <c r="A272" s="73">
        <v>28742</v>
      </c>
      <c r="B272" s="68" t="s">
        <v>221</v>
      </c>
      <c r="C272" s="70" t="s">
        <v>179</v>
      </c>
      <c r="D272" s="68">
        <v>9</v>
      </c>
      <c r="E272" s="70" t="s">
        <v>39</v>
      </c>
      <c r="F272" s="74">
        <v>5.75</v>
      </c>
      <c r="G272" s="71">
        <f t="shared" si="27"/>
        <v>51.75</v>
      </c>
      <c r="H272" s="80">
        <v>115</v>
      </c>
      <c r="I272" s="80">
        <v>27</v>
      </c>
      <c r="J272" s="80">
        <v>1</v>
      </c>
      <c r="K272" s="80">
        <v>12.79</v>
      </c>
      <c r="L272" s="80">
        <v>13.79</v>
      </c>
      <c r="M272" s="80">
        <f>L272*J272</f>
        <v>13.79</v>
      </c>
      <c r="N272" s="80" t="s">
        <v>180</v>
      </c>
      <c r="O272" s="75">
        <v>405398</v>
      </c>
      <c r="P272" s="47">
        <v>4.32</v>
      </c>
      <c r="Q272" s="47"/>
    </row>
    <row r="273" s="3" customFormat="1" ht="19" customHeight="1" spans="1:17">
      <c r="A273" s="73">
        <v>28673</v>
      </c>
      <c r="B273" s="68" t="s">
        <v>222</v>
      </c>
      <c r="C273" s="70" t="s">
        <v>179</v>
      </c>
      <c r="D273" s="68">
        <v>13</v>
      </c>
      <c r="E273" s="70" t="s">
        <v>39</v>
      </c>
      <c r="F273" s="74">
        <v>5.75</v>
      </c>
      <c r="G273" s="71">
        <f t="shared" si="27"/>
        <v>74.75</v>
      </c>
      <c r="H273" s="81"/>
      <c r="I273" s="81"/>
      <c r="J273" s="81"/>
      <c r="K273" s="81"/>
      <c r="L273" s="81"/>
      <c r="M273" s="81"/>
      <c r="N273" s="81"/>
      <c r="O273" s="75">
        <v>405398</v>
      </c>
      <c r="P273" s="47">
        <v>5.72</v>
      </c>
      <c r="Q273" s="47"/>
    </row>
    <row r="274" s="3" customFormat="1" ht="19" customHeight="1" spans="1:17">
      <c r="A274" s="73">
        <v>28790</v>
      </c>
      <c r="B274" s="68" t="s">
        <v>223</v>
      </c>
      <c r="C274" s="70" t="s">
        <v>179</v>
      </c>
      <c r="D274" s="68">
        <v>5</v>
      </c>
      <c r="E274" s="70" t="s">
        <v>39</v>
      </c>
      <c r="F274" s="74">
        <v>5.75</v>
      </c>
      <c r="G274" s="71">
        <f t="shared" si="27"/>
        <v>28.75</v>
      </c>
      <c r="H274" s="79"/>
      <c r="I274" s="79"/>
      <c r="J274" s="79"/>
      <c r="K274" s="79"/>
      <c r="L274" s="79"/>
      <c r="M274" s="79"/>
      <c r="N274" s="79"/>
      <c r="O274" s="75">
        <v>405398</v>
      </c>
      <c r="P274" s="47">
        <v>2.75</v>
      </c>
      <c r="Q274" s="47"/>
    </row>
    <row r="275" s="3" customFormat="1" ht="19" customHeight="1" spans="1:17">
      <c r="A275" s="73">
        <v>28791</v>
      </c>
      <c r="B275" s="73">
        <v>39323</v>
      </c>
      <c r="C275" s="70" t="s">
        <v>179</v>
      </c>
      <c r="D275" s="68">
        <v>1</v>
      </c>
      <c r="E275" s="70" t="s">
        <v>39</v>
      </c>
      <c r="F275" s="74">
        <v>5.6</v>
      </c>
      <c r="G275" s="71">
        <f t="shared" si="27"/>
        <v>5.6</v>
      </c>
      <c r="H275" s="80">
        <v>115</v>
      </c>
      <c r="I275" s="80">
        <v>27</v>
      </c>
      <c r="J275" s="80">
        <v>1</v>
      </c>
      <c r="K275" s="80">
        <v>13.3</v>
      </c>
      <c r="L275" s="80">
        <v>14.3</v>
      </c>
      <c r="M275" s="80">
        <f>L275*J275</f>
        <v>14.3</v>
      </c>
      <c r="N275" s="80" t="s">
        <v>180</v>
      </c>
      <c r="O275" s="75">
        <v>405398</v>
      </c>
      <c r="P275" s="47">
        <v>0.472</v>
      </c>
      <c r="Q275" s="47"/>
    </row>
    <row r="276" s="3" customFormat="1" ht="19" customHeight="1" spans="1:17">
      <c r="A276" s="73">
        <v>28746</v>
      </c>
      <c r="B276" s="68" t="s">
        <v>224</v>
      </c>
      <c r="C276" s="70" t="s">
        <v>179</v>
      </c>
      <c r="D276" s="68">
        <v>10</v>
      </c>
      <c r="E276" s="70" t="s">
        <v>39</v>
      </c>
      <c r="F276" s="74">
        <v>5.75</v>
      </c>
      <c r="G276" s="71">
        <f t="shared" si="27"/>
        <v>57.5</v>
      </c>
      <c r="H276" s="81"/>
      <c r="I276" s="81"/>
      <c r="J276" s="81"/>
      <c r="K276" s="81"/>
      <c r="L276" s="81"/>
      <c r="M276" s="81"/>
      <c r="N276" s="81"/>
      <c r="O276" s="75">
        <v>405398</v>
      </c>
      <c r="P276" s="47">
        <v>3.96</v>
      </c>
      <c r="Q276" s="47"/>
    </row>
    <row r="277" s="3" customFormat="1" ht="19" customHeight="1" spans="1:17">
      <c r="A277" s="73">
        <v>28702</v>
      </c>
      <c r="B277" s="68" t="s">
        <v>186</v>
      </c>
      <c r="C277" s="70" t="s">
        <v>179</v>
      </c>
      <c r="D277" s="68">
        <v>3</v>
      </c>
      <c r="E277" s="70" t="s">
        <v>39</v>
      </c>
      <c r="F277" s="74">
        <v>5.6</v>
      </c>
      <c r="G277" s="71">
        <f t="shared" si="27"/>
        <v>16.8</v>
      </c>
      <c r="H277" s="81"/>
      <c r="I277" s="81"/>
      <c r="J277" s="81"/>
      <c r="K277" s="81"/>
      <c r="L277" s="81"/>
      <c r="M277" s="81"/>
      <c r="N277" s="81"/>
      <c r="O277" s="75">
        <v>405398</v>
      </c>
      <c r="P277" s="47">
        <v>1.68</v>
      </c>
      <c r="Q277" s="47"/>
    </row>
    <row r="278" s="3" customFormat="1" ht="19" customHeight="1" spans="1:17">
      <c r="A278" s="73">
        <v>28688</v>
      </c>
      <c r="B278" s="73">
        <v>197007</v>
      </c>
      <c r="C278" s="70" t="s">
        <v>179</v>
      </c>
      <c r="D278" s="68">
        <v>16</v>
      </c>
      <c r="E278" s="70" t="s">
        <v>39</v>
      </c>
      <c r="F278" s="74">
        <v>5.7</v>
      </c>
      <c r="G278" s="71">
        <f t="shared" si="27"/>
        <v>91.2</v>
      </c>
      <c r="H278" s="79"/>
      <c r="I278" s="79"/>
      <c r="J278" s="79"/>
      <c r="K278" s="79"/>
      <c r="L278" s="79"/>
      <c r="M278" s="79"/>
      <c r="N278" s="79"/>
      <c r="O278" s="75">
        <v>405398</v>
      </c>
      <c r="P278" s="47">
        <v>7.2</v>
      </c>
      <c r="Q278" s="47"/>
    </row>
    <row r="279" s="3" customFormat="1" ht="19" customHeight="1" spans="1:17">
      <c r="A279" s="67">
        <v>28588</v>
      </c>
      <c r="B279" s="68" t="s">
        <v>182</v>
      </c>
      <c r="C279" s="70" t="s">
        <v>179</v>
      </c>
      <c r="D279" s="68">
        <v>1</v>
      </c>
      <c r="E279" s="69" t="s">
        <v>39</v>
      </c>
      <c r="F279" s="76">
        <v>5.45</v>
      </c>
      <c r="G279" s="77">
        <f t="shared" si="27"/>
        <v>5.45</v>
      </c>
      <c r="H279" s="78">
        <v>115</v>
      </c>
      <c r="I279" s="81">
        <v>11</v>
      </c>
      <c r="J279" s="80">
        <v>1</v>
      </c>
      <c r="K279" s="81">
        <v>5.77</v>
      </c>
      <c r="L279" s="81">
        <v>6.77</v>
      </c>
      <c r="M279" s="81">
        <f>L279*J279</f>
        <v>6.77</v>
      </c>
      <c r="N279" s="81" t="s">
        <v>225</v>
      </c>
      <c r="O279" s="23">
        <v>420867</v>
      </c>
      <c r="P279" s="47">
        <v>0.54</v>
      </c>
      <c r="Q279" s="47"/>
    </row>
    <row r="280" s="3" customFormat="1" ht="19" customHeight="1" spans="1:17">
      <c r="A280" s="67">
        <v>28806</v>
      </c>
      <c r="B280" s="68" t="s">
        <v>200</v>
      </c>
      <c r="C280" s="70" t="s">
        <v>179</v>
      </c>
      <c r="D280" s="68">
        <v>1</v>
      </c>
      <c r="E280" s="69" t="s">
        <v>39</v>
      </c>
      <c r="F280" s="76">
        <v>5.5</v>
      </c>
      <c r="G280" s="77">
        <f t="shared" si="27"/>
        <v>5.5</v>
      </c>
      <c r="H280" s="78">
        <v>115</v>
      </c>
      <c r="I280" s="81"/>
      <c r="J280" s="81"/>
      <c r="K280" s="81"/>
      <c r="L280" s="81"/>
      <c r="M280" s="81"/>
      <c r="N280" s="81"/>
      <c r="O280" s="23">
        <v>420867</v>
      </c>
      <c r="P280" s="47">
        <v>0.39</v>
      </c>
      <c r="Q280" s="47"/>
    </row>
    <row r="281" s="3" customFormat="1" ht="19" customHeight="1" spans="1:17">
      <c r="A281" s="67">
        <v>28685</v>
      </c>
      <c r="B281" s="68" t="s">
        <v>202</v>
      </c>
      <c r="C281" s="70" t="s">
        <v>179</v>
      </c>
      <c r="D281" s="68">
        <v>2</v>
      </c>
      <c r="E281" s="69" t="s">
        <v>39</v>
      </c>
      <c r="F281" s="76">
        <v>5.5</v>
      </c>
      <c r="G281" s="77">
        <f t="shared" si="27"/>
        <v>11</v>
      </c>
      <c r="H281" s="78">
        <v>115</v>
      </c>
      <c r="I281" s="81"/>
      <c r="J281" s="81"/>
      <c r="K281" s="81"/>
      <c r="L281" s="81"/>
      <c r="M281" s="81"/>
      <c r="N281" s="81"/>
      <c r="O281" s="23">
        <v>420867</v>
      </c>
      <c r="P281" s="47">
        <v>0.76</v>
      </c>
      <c r="Q281" s="47"/>
    </row>
    <row r="282" s="3" customFormat="1" ht="19" customHeight="1" spans="1:17">
      <c r="A282" s="67">
        <v>28783</v>
      </c>
      <c r="B282" s="68" t="s">
        <v>190</v>
      </c>
      <c r="C282" s="70" t="s">
        <v>179</v>
      </c>
      <c r="D282" s="68">
        <v>3</v>
      </c>
      <c r="E282" s="69" t="s">
        <v>39</v>
      </c>
      <c r="F282" s="76">
        <v>5.5</v>
      </c>
      <c r="G282" s="77">
        <f t="shared" si="27"/>
        <v>16.5</v>
      </c>
      <c r="H282" s="78">
        <v>115</v>
      </c>
      <c r="I282" s="81"/>
      <c r="J282" s="81"/>
      <c r="K282" s="81"/>
      <c r="L282" s="81"/>
      <c r="M282" s="81"/>
      <c r="N282" s="81"/>
      <c r="O282" s="23">
        <v>420867</v>
      </c>
      <c r="P282" s="47">
        <v>1.71</v>
      </c>
      <c r="Q282" s="47"/>
    </row>
    <row r="283" s="3" customFormat="1" ht="19" customHeight="1" spans="1:17">
      <c r="A283" s="67">
        <v>28796</v>
      </c>
      <c r="B283" s="68" t="s">
        <v>192</v>
      </c>
      <c r="C283" s="70" t="s">
        <v>179</v>
      </c>
      <c r="D283" s="68">
        <v>3</v>
      </c>
      <c r="E283" s="69" t="s">
        <v>39</v>
      </c>
      <c r="F283" s="76">
        <v>5.4</v>
      </c>
      <c r="G283" s="77">
        <f t="shared" si="27"/>
        <v>16.2</v>
      </c>
      <c r="H283" s="78">
        <v>115</v>
      </c>
      <c r="I283" s="81"/>
      <c r="J283" s="81"/>
      <c r="K283" s="81"/>
      <c r="L283" s="81"/>
      <c r="M283" s="81"/>
      <c r="N283" s="81"/>
      <c r="O283" s="23">
        <v>420867</v>
      </c>
      <c r="P283" s="47">
        <v>1.65</v>
      </c>
      <c r="Q283" s="47"/>
    </row>
    <row r="284" s="3" customFormat="1" ht="19" customHeight="1" spans="1:17">
      <c r="A284" s="67">
        <v>28855</v>
      </c>
      <c r="B284" s="68" t="s">
        <v>226</v>
      </c>
      <c r="C284" s="70" t="s">
        <v>179</v>
      </c>
      <c r="D284" s="68">
        <v>1</v>
      </c>
      <c r="E284" s="69" t="s">
        <v>39</v>
      </c>
      <c r="F284" s="76">
        <v>5.7</v>
      </c>
      <c r="G284" s="77">
        <f t="shared" si="27"/>
        <v>5.7</v>
      </c>
      <c r="H284" s="78">
        <v>117</v>
      </c>
      <c r="I284" s="79"/>
      <c r="J284" s="79"/>
      <c r="K284" s="79"/>
      <c r="L284" s="79"/>
      <c r="M284" s="79"/>
      <c r="N284" s="79"/>
      <c r="O284" s="23">
        <v>420867</v>
      </c>
      <c r="P284" s="47">
        <v>0.72</v>
      </c>
      <c r="Q284" s="47"/>
    </row>
    <row r="285" s="3" customFormat="1" ht="19" customHeight="1" spans="1:17">
      <c r="A285" s="67">
        <v>28755</v>
      </c>
      <c r="B285" s="68" t="s">
        <v>216</v>
      </c>
      <c r="C285" s="70" t="s">
        <v>179</v>
      </c>
      <c r="D285" s="68">
        <v>13</v>
      </c>
      <c r="E285" s="69" t="s">
        <v>39</v>
      </c>
      <c r="F285" s="76">
        <v>5.5</v>
      </c>
      <c r="G285" s="77">
        <f t="shared" si="27"/>
        <v>71.5</v>
      </c>
      <c r="H285" s="98">
        <v>115</v>
      </c>
      <c r="I285" s="81">
        <v>30</v>
      </c>
      <c r="J285" s="80">
        <v>1</v>
      </c>
      <c r="K285" s="81">
        <v>11.49</v>
      </c>
      <c r="L285" s="81">
        <v>12.49</v>
      </c>
      <c r="M285" s="81">
        <f>L285*J285</f>
        <v>12.49</v>
      </c>
      <c r="N285" s="81" t="s">
        <v>180</v>
      </c>
      <c r="O285" s="23">
        <v>420867</v>
      </c>
      <c r="P285" s="47">
        <v>5.2</v>
      </c>
      <c r="Q285" s="47"/>
    </row>
    <row r="286" s="3" customFormat="1" ht="19" customHeight="1" spans="1:17">
      <c r="A286" s="67">
        <v>28612</v>
      </c>
      <c r="B286" s="68">
        <v>39339</v>
      </c>
      <c r="C286" s="70" t="s">
        <v>179</v>
      </c>
      <c r="D286" s="68">
        <v>17</v>
      </c>
      <c r="E286" s="69" t="s">
        <v>39</v>
      </c>
      <c r="F286" s="76">
        <v>5.5</v>
      </c>
      <c r="G286" s="77">
        <f t="shared" si="27"/>
        <v>93.5</v>
      </c>
      <c r="H286" s="78"/>
      <c r="I286" s="79"/>
      <c r="J286" s="79"/>
      <c r="K286" s="79"/>
      <c r="L286" s="79"/>
      <c r="M286" s="79"/>
      <c r="N286" s="79"/>
      <c r="O286" s="23">
        <v>420867</v>
      </c>
      <c r="P286" s="47">
        <v>6.29</v>
      </c>
      <c r="Q286" s="47"/>
    </row>
    <row r="287" s="3" customFormat="1" ht="19" customHeight="1" spans="1:17">
      <c r="A287" s="73"/>
      <c r="B287" s="68"/>
      <c r="C287" s="70"/>
      <c r="D287" s="68"/>
      <c r="E287" s="70"/>
      <c r="F287" s="74"/>
      <c r="G287" s="71"/>
      <c r="H287" s="68"/>
      <c r="I287" s="68"/>
      <c r="J287" s="68"/>
      <c r="K287" s="68"/>
      <c r="L287" s="68"/>
      <c r="M287" s="68"/>
      <c r="N287" s="68"/>
      <c r="O287" s="75"/>
      <c r="P287" s="47"/>
      <c r="Q287" s="47"/>
    </row>
    <row r="288" s="3" customFormat="1" ht="19" customHeight="1" spans="1:17">
      <c r="A288" s="73" t="s">
        <v>227</v>
      </c>
      <c r="B288" s="68" t="s">
        <v>228</v>
      </c>
      <c r="C288" s="70" t="s">
        <v>179</v>
      </c>
      <c r="D288" s="68">
        <v>80</v>
      </c>
      <c r="E288" s="70" t="s">
        <v>39</v>
      </c>
      <c r="F288" s="74">
        <v>5</v>
      </c>
      <c r="G288" s="71">
        <f t="shared" ref="G288:G293" si="28">F288*D288</f>
        <v>400</v>
      </c>
      <c r="H288" s="68">
        <v>117</v>
      </c>
      <c r="I288" s="68">
        <v>20</v>
      </c>
      <c r="J288" s="68">
        <f>D288/I288</f>
        <v>4</v>
      </c>
      <c r="K288" s="68">
        <v>7</v>
      </c>
      <c r="L288" s="68">
        <v>8</v>
      </c>
      <c r="M288" s="68">
        <f>L288*J288</f>
        <v>32</v>
      </c>
      <c r="N288" s="68" t="s">
        <v>204</v>
      </c>
      <c r="O288" s="75">
        <v>405398</v>
      </c>
      <c r="P288" s="47"/>
      <c r="Q288" s="47"/>
    </row>
    <row r="289" s="3" customFormat="1" ht="19" customHeight="1" spans="1:17">
      <c r="A289" s="73">
        <v>28946</v>
      </c>
      <c r="B289" s="68" t="s">
        <v>229</v>
      </c>
      <c r="C289" s="70" t="s">
        <v>179</v>
      </c>
      <c r="D289" s="68">
        <v>20</v>
      </c>
      <c r="E289" s="70" t="s">
        <v>39</v>
      </c>
      <c r="F289" s="74">
        <v>6.1</v>
      </c>
      <c r="G289" s="71">
        <f t="shared" si="28"/>
        <v>122</v>
      </c>
      <c r="H289" s="68">
        <v>117</v>
      </c>
      <c r="I289" s="68">
        <v>20</v>
      </c>
      <c r="J289" s="68">
        <f>D289/I289</f>
        <v>1</v>
      </c>
      <c r="K289" s="68">
        <v>15.72</v>
      </c>
      <c r="L289" s="68">
        <v>16.72</v>
      </c>
      <c r="M289" s="68">
        <f>L289*J289</f>
        <v>16.72</v>
      </c>
      <c r="N289" s="68" t="s">
        <v>204</v>
      </c>
      <c r="O289" s="75">
        <v>405398</v>
      </c>
      <c r="P289" s="47"/>
      <c r="Q289" s="47"/>
    </row>
    <row r="290" s="3" customFormat="1" ht="19" customHeight="1" spans="1:17">
      <c r="A290" s="73" t="s">
        <v>227</v>
      </c>
      <c r="B290" s="68" t="s">
        <v>228</v>
      </c>
      <c r="C290" s="70" t="s">
        <v>179</v>
      </c>
      <c r="D290" s="68">
        <v>6</v>
      </c>
      <c r="E290" s="70" t="s">
        <v>39</v>
      </c>
      <c r="F290" s="74">
        <v>5</v>
      </c>
      <c r="G290" s="71">
        <f t="shared" si="28"/>
        <v>30</v>
      </c>
      <c r="H290" s="80">
        <v>117</v>
      </c>
      <c r="I290" s="80">
        <v>19</v>
      </c>
      <c r="J290" s="80">
        <v>1</v>
      </c>
      <c r="K290" s="80">
        <v>12.32</v>
      </c>
      <c r="L290" s="80">
        <v>13.32</v>
      </c>
      <c r="M290" s="80">
        <f>L290*J290</f>
        <v>13.32</v>
      </c>
      <c r="N290" s="80" t="s">
        <v>204</v>
      </c>
      <c r="O290" s="75">
        <v>405398</v>
      </c>
      <c r="P290" s="47">
        <v>2.1</v>
      </c>
      <c r="Q290" s="47"/>
    </row>
    <row r="291" s="3" customFormat="1" ht="19" customHeight="1" spans="1:17">
      <c r="A291" s="73">
        <v>28946</v>
      </c>
      <c r="B291" s="68" t="s">
        <v>229</v>
      </c>
      <c r="C291" s="70" t="s">
        <v>179</v>
      </c>
      <c r="D291" s="68">
        <v>13</v>
      </c>
      <c r="E291" s="70" t="s">
        <v>39</v>
      </c>
      <c r="F291" s="74">
        <v>6.1</v>
      </c>
      <c r="G291" s="71">
        <f t="shared" si="28"/>
        <v>79.3</v>
      </c>
      <c r="H291" s="79"/>
      <c r="I291" s="79"/>
      <c r="J291" s="79"/>
      <c r="K291" s="79"/>
      <c r="L291" s="79"/>
      <c r="M291" s="79"/>
      <c r="N291" s="79"/>
      <c r="O291" s="75">
        <v>405398</v>
      </c>
      <c r="P291" s="47">
        <v>10.22</v>
      </c>
      <c r="Q291" s="47"/>
    </row>
    <row r="292" s="3" customFormat="1" ht="19" customHeight="1" spans="1:17">
      <c r="A292" s="73">
        <v>28836</v>
      </c>
      <c r="B292" s="68" t="s">
        <v>230</v>
      </c>
      <c r="C292" s="70" t="s">
        <v>179</v>
      </c>
      <c r="D292" s="68">
        <v>8</v>
      </c>
      <c r="E292" s="70" t="s">
        <v>39</v>
      </c>
      <c r="F292" s="74">
        <v>5.9</v>
      </c>
      <c r="G292" s="71">
        <f t="shared" si="28"/>
        <v>47.2</v>
      </c>
      <c r="H292" s="80">
        <v>117</v>
      </c>
      <c r="I292" s="80">
        <v>17</v>
      </c>
      <c r="J292" s="80">
        <v>1</v>
      </c>
      <c r="K292" s="80">
        <v>11.14</v>
      </c>
      <c r="L292" s="80">
        <v>12.14</v>
      </c>
      <c r="M292" s="80">
        <f>L292*J292</f>
        <v>12.14</v>
      </c>
      <c r="N292" s="80" t="s">
        <v>204</v>
      </c>
      <c r="O292" s="75">
        <v>405398</v>
      </c>
      <c r="P292" s="47">
        <v>5.24</v>
      </c>
      <c r="Q292" s="47"/>
    </row>
    <row r="293" s="3" customFormat="1" ht="19" customHeight="1" spans="1:17">
      <c r="A293" s="73">
        <v>28792</v>
      </c>
      <c r="B293" s="68" t="s">
        <v>231</v>
      </c>
      <c r="C293" s="70" t="s">
        <v>179</v>
      </c>
      <c r="D293" s="68">
        <v>9</v>
      </c>
      <c r="E293" s="70" t="s">
        <v>39</v>
      </c>
      <c r="F293" s="74">
        <v>5.75</v>
      </c>
      <c r="G293" s="71">
        <f t="shared" si="28"/>
        <v>51.75</v>
      </c>
      <c r="H293" s="79"/>
      <c r="I293" s="79"/>
      <c r="J293" s="79"/>
      <c r="K293" s="79"/>
      <c r="L293" s="79"/>
      <c r="M293" s="79"/>
      <c r="N293" s="79"/>
      <c r="O293" s="75">
        <v>405398</v>
      </c>
      <c r="P293" s="47">
        <v>5.9</v>
      </c>
      <c r="Q293" s="47"/>
    </row>
    <row r="294" s="3" customFormat="1" ht="19" customHeight="1" spans="1:17">
      <c r="A294" s="67"/>
      <c r="B294" s="68"/>
      <c r="C294" s="69">
        <v>136</v>
      </c>
      <c r="D294" s="68"/>
      <c r="E294" s="70"/>
      <c r="F294" s="71"/>
      <c r="G294" s="74"/>
      <c r="H294" s="68"/>
      <c r="I294" s="79"/>
      <c r="J294" s="79"/>
      <c r="K294" s="79"/>
      <c r="L294" s="79"/>
      <c r="M294" s="79"/>
      <c r="N294" s="79"/>
      <c r="O294" s="23"/>
      <c r="P294" s="47"/>
      <c r="Q294" s="47"/>
    </row>
    <row r="295" s="3" customFormat="1" ht="19" customHeight="1" spans="1:17">
      <c r="A295" s="67"/>
      <c r="B295" s="68"/>
      <c r="C295" s="69"/>
      <c r="D295" s="68"/>
      <c r="E295" s="70"/>
      <c r="F295" s="71"/>
      <c r="G295" s="74"/>
      <c r="H295" s="68"/>
      <c r="I295" s="79"/>
      <c r="J295" s="79"/>
      <c r="K295" s="79"/>
      <c r="L295" s="79"/>
      <c r="M295" s="79"/>
      <c r="N295" s="79"/>
      <c r="O295" s="23"/>
      <c r="P295" s="47"/>
      <c r="Q295" s="47"/>
    </row>
    <row r="296" s="3" customFormat="1" ht="19" customHeight="1" spans="1:17">
      <c r="A296" s="73"/>
      <c r="B296" s="68"/>
      <c r="C296" s="108"/>
      <c r="D296" s="68"/>
      <c r="E296" s="109"/>
      <c r="F296" s="77"/>
      <c r="G296" s="77"/>
      <c r="H296" s="78"/>
      <c r="I296" s="79"/>
      <c r="J296" s="110"/>
      <c r="K296" s="79"/>
      <c r="L296" s="79"/>
      <c r="M296" s="79"/>
      <c r="N296" s="79"/>
      <c r="O296" s="23"/>
      <c r="P296" s="47"/>
      <c r="Q296" s="47"/>
    </row>
    <row r="297" s="3" customFormat="1" ht="19" customHeight="1" spans="1:17">
      <c r="A297" s="100">
        <v>28603</v>
      </c>
      <c r="B297" s="68" t="s">
        <v>232</v>
      </c>
      <c r="C297" s="70" t="s">
        <v>179</v>
      </c>
      <c r="D297" s="68">
        <v>23</v>
      </c>
      <c r="E297" s="69" t="s">
        <v>39</v>
      </c>
      <c r="F297" s="105">
        <v>5.6</v>
      </c>
      <c r="G297" s="77">
        <f t="shared" ref="G297:G306" si="29">F297*D297</f>
        <v>128.8</v>
      </c>
      <c r="H297" s="111">
        <v>115</v>
      </c>
      <c r="I297" s="68">
        <v>23</v>
      </c>
      <c r="J297" s="68">
        <f t="shared" ref="J297:J304" si="30">D297/I297</f>
        <v>1</v>
      </c>
      <c r="K297" s="68">
        <v>8.5</v>
      </c>
      <c r="L297" s="68">
        <v>9.51</v>
      </c>
      <c r="M297" s="68">
        <f t="shared" ref="M293:M305" si="31">L297*J297</f>
        <v>9.51</v>
      </c>
      <c r="N297" s="68" t="s">
        <v>204</v>
      </c>
      <c r="O297" s="75">
        <v>405398</v>
      </c>
      <c r="P297" s="47"/>
      <c r="Q297" s="47"/>
    </row>
    <row r="298" s="3" customFormat="1" ht="19" customHeight="1" spans="1:17">
      <c r="A298" s="100">
        <v>28603</v>
      </c>
      <c r="B298" s="68" t="s">
        <v>232</v>
      </c>
      <c r="C298" s="70" t="s">
        <v>179</v>
      </c>
      <c r="D298" s="68">
        <v>120</v>
      </c>
      <c r="E298" s="69" t="s">
        <v>39</v>
      </c>
      <c r="F298" s="105">
        <v>5.6</v>
      </c>
      <c r="G298" s="77">
        <f t="shared" si="29"/>
        <v>672</v>
      </c>
      <c r="H298" s="111">
        <v>115</v>
      </c>
      <c r="I298" s="68">
        <v>30</v>
      </c>
      <c r="J298" s="68">
        <f t="shared" si="30"/>
        <v>4</v>
      </c>
      <c r="K298" s="68">
        <v>11.1</v>
      </c>
      <c r="L298" s="68">
        <v>12.3</v>
      </c>
      <c r="M298" s="68">
        <f t="shared" si="31"/>
        <v>49.2</v>
      </c>
      <c r="N298" s="68" t="s">
        <v>180</v>
      </c>
      <c r="O298" s="75">
        <v>405398</v>
      </c>
      <c r="P298" s="47"/>
      <c r="Q298" s="47"/>
    </row>
    <row r="299" s="3" customFormat="1" ht="19" customHeight="1" spans="1:17">
      <c r="A299" s="100">
        <v>28627</v>
      </c>
      <c r="B299" s="68" t="s">
        <v>233</v>
      </c>
      <c r="C299" s="70" t="s">
        <v>179</v>
      </c>
      <c r="D299" s="68">
        <v>22</v>
      </c>
      <c r="E299" s="69" t="s">
        <v>39</v>
      </c>
      <c r="F299" s="105">
        <v>5.7</v>
      </c>
      <c r="G299" s="77">
        <f t="shared" si="29"/>
        <v>125.4</v>
      </c>
      <c r="H299" s="111">
        <v>115</v>
      </c>
      <c r="I299" s="68">
        <v>22</v>
      </c>
      <c r="J299" s="68">
        <f t="shared" si="30"/>
        <v>1</v>
      </c>
      <c r="K299" s="68">
        <v>10.56</v>
      </c>
      <c r="L299" s="68">
        <v>11.56</v>
      </c>
      <c r="M299" s="68">
        <f t="shared" si="31"/>
        <v>11.56</v>
      </c>
      <c r="N299" s="68" t="s">
        <v>204</v>
      </c>
      <c r="O299" s="75">
        <v>405398</v>
      </c>
      <c r="P299" s="47"/>
      <c r="Q299" s="47"/>
    </row>
    <row r="300" s="3" customFormat="1" ht="19" customHeight="1" spans="1:17">
      <c r="A300" s="100">
        <v>28688</v>
      </c>
      <c r="B300" s="68" t="s">
        <v>234</v>
      </c>
      <c r="C300" s="70" t="s">
        <v>179</v>
      </c>
      <c r="D300" s="68">
        <v>20</v>
      </c>
      <c r="E300" s="69" t="s">
        <v>39</v>
      </c>
      <c r="F300" s="105">
        <v>5.7</v>
      </c>
      <c r="G300" s="77">
        <f t="shared" si="29"/>
        <v>114</v>
      </c>
      <c r="H300" s="111">
        <v>115</v>
      </c>
      <c r="I300" s="68">
        <v>20</v>
      </c>
      <c r="J300" s="68">
        <f t="shared" si="30"/>
        <v>1</v>
      </c>
      <c r="K300" s="68">
        <v>9</v>
      </c>
      <c r="L300" s="68">
        <v>10</v>
      </c>
      <c r="M300" s="68">
        <f t="shared" si="31"/>
        <v>10</v>
      </c>
      <c r="N300" s="68" t="s">
        <v>225</v>
      </c>
      <c r="O300" s="75">
        <v>405398</v>
      </c>
      <c r="P300" s="47"/>
      <c r="Q300" s="47"/>
    </row>
    <row r="301" s="3" customFormat="1" ht="19" customHeight="1" spans="1:17">
      <c r="A301" s="100">
        <v>28773</v>
      </c>
      <c r="B301" s="68" t="s">
        <v>235</v>
      </c>
      <c r="C301" s="70" t="s">
        <v>179</v>
      </c>
      <c r="D301" s="68">
        <v>480</v>
      </c>
      <c r="E301" s="69" t="s">
        <v>39</v>
      </c>
      <c r="F301" s="105">
        <v>5.6</v>
      </c>
      <c r="G301" s="77">
        <f t="shared" si="29"/>
        <v>2688</v>
      </c>
      <c r="H301" s="111">
        <v>115</v>
      </c>
      <c r="I301" s="68">
        <v>30</v>
      </c>
      <c r="J301" s="68">
        <f t="shared" si="30"/>
        <v>16</v>
      </c>
      <c r="K301" s="68">
        <v>16.2</v>
      </c>
      <c r="L301" s="68">
        <v>17.4</v>
      </c>
      <c r="M301" s="68">
        <f t="shared" si="31"/>
        <v>278.4</v>
      </c>
      <c r="N301" s="68" t="s">
        <v>180</v>
      </c>
      <c r="O301" s="75">
        <v>405398</v>
      </c>
      <c r="P301" s="47"/>
      <c r="Q301" s="47"/>
    </row>
    <row r="302" s="3" customFormat="1" ht="19" customHeight="1" spans="1:17">
      <c r="A302" s="100">
        <v>28841</v>
      </c>
      <c r="B302" s="68" t="s">
        <v>236</v>
      </c>
      <c r="C302" s="70" t="s">
        <v>179</v>
      </c>
      <c r="D302" s="68">
        <v>90</v>
      </c>
      <c r="E302" s="69" t="s">
        <v>39</v>
      </c>
      <c r="F302" s="105">
        <v>5.75</v>
      </c>
      <c r="G302" s="77">
        <f t="shared" si="29"/>
        <v>517.5</v>
      </c>
      <c r="H302" s="111">
        <v>115</v>
      </c>
      <c r="I302" s="68">
        <v>30</v>
      </c>
      <c r="J302" s="68">
        <f t="shared" si="30"/>
        <v>3</v>
      </c>
      <c r="K302" s="68">
        <v>12.3</v>
      </c>
      <c r="L302" s="68">
        <v>13.5</v>
      </c>
      <c r="M302" s="68">
        <f t="shared" si="31"/>
        <v>40.5</v>
      </c>
      <c r="N302" s="68" t="s">
        <v>180</v>
      </c>
      <c r="O302" s="75">
        <v>405398</v>
      </c>
      <c r="P302" s="47"/>
      <c r="Q302" s="47"/>
    </row>
    <row r="303" s="3" customFormat="1" ht="19" customHeight="1" spans="1:17">
      <c r="A303" s="100">
        <v>28841</v>
      </c>
      <c r="B303" s="68" t="s">
        <v>236</v>
      </c>
      <c r="C303" s="70" t="s">
        <v>179</v>
      </c>
      <c r="D303" s="68">
        <v>15</v>
      </c>
      <c r="E303" s="69" t="s">
        <v>39</v>
      </c>
      <c r="F303" s="105">
        <v>5.75</v>
      </c>
      <c r="G303" s="77">
        <f t="shared" si="29"/>
        <v>86.25</v>
      </c>
      <c r="H303" s="111">
        <v>115</v>
      </c>
      <c r="I303" s="68">
        <v>15</v>
      </c>
      <c r="J303" s="68">
        <f t="shared" si="30"/>
        <v>1</v>
      </c>
      <c r="K303" s="68">
        <v>6.15</v>
      </c>
      <c r="L303" s="68">
        <v>7.15</v>
      </c>
      <c r="M303" s="68">
        <f t="shared" si="31"/>
        <v>7.15</v>
      </c>
      <c r="N303" s="68" t="s">
        <v>225</v>
      </c>
      <c r="O303" s="75">
        <v>405398</v>
      </c>
      <c r="P303" s="47"/>
      <c r="Q303" s="47"/>
    </row>
    <row r="304" s="3" customFormat="1" ht="19" customHeight="1" spans="1:17">
      <c r="A304" s="100">
        <v>28969</v>
      </c>
      <c r="B304" s="68" t="s">
        <v>237</v>
      </c>
      <c r="C304" s="70" t="s">
        <v>179</v>
      </c>
      <c r="D304" s="68">
        <v>180</v>
      </c>
      <c r="E304" s="69" t="s">
        <v>39</v>
      </c>
      <c r="F304" s="105">
        <v>5.65</v>
      </c>
      <c r="G304" s="77">
        <f t="shared" si="29"/>
        <v>1017</v>
      </c>
      <c r="H304" s="111">
        <v>115</v>
      </c>
      <c r="I304" s="68">
        <v>30</v>
      </c>
      <c r="J304" s="68">
        <f t="shared" si="30"/>
        <v>6</v>
      </c>
      <c r="K304" s="68">
        <v>18.9</v>
      </c>
      <c r="L304" s="68">
        <v>20.1</v>
      </c>
      <c r="M304" s="68">
        <f t="shared" si="31"/>
        <v>120.6</v>
      </c>
      <c r="N304" s="68" t="s">
        <v>180</v>
      </c>
      <c r="O304" s="75">
        <v>405398</v>
      </c>
      <c r="P304" s="47"/>
      <c r="Q304" s="47"/>
    </row>
    <row r="305" s="3" customFormat="1" ht="19" customHeight="1" spans="1:17 16369:16384">
      <c r="A305" s="100">
        <v>28773</v>
      </c>
      <c r="B305" s="68" t="s">
        <v>235</v>
      </c>
      <c r="C305" s="70" t="s">
        <v>179</v>
      </c>
      <c r="D305" s="68">
        <v>14</v>
      </c>
      <c r="E305" s="69" t="s">
        <v>39</v>
      </c>
      <c r="F305" s="105">
        <v>5.6</v>
      </c>
      <c r="G305" s="77">
        <f t="shared" si="29"/>
        <v>78.4</v>
      </c>
      <c r="H305" s="112">
        <v>115</v>
      </c>
      <c r="I305" s="80">
        <v>27</v>
      </c>
      <c r="J305" s="80">
        <v>1</v>
      </c>
      <c r="K305" s="80">
        <v>15.75</v>
      </c>
      <c r="L305" s="80">
        <v>16.75</v>
      </c>
      <c r="M305" s="80">
        <f t="shared" si="31"/>
        <v>16.75</v>
      </c>
      <c r="N305" s="80" t="s">
        <v>180</v>
      </c>
      <c r="O305" s="75">
        <v>405398</v>
      </c>
      <c r="P305" s="47">
        <v>7.56</v>
      </c>
      <c r="Q305" s="47"/>
    </row>
    <row r="306" s="3" customFormat="1" ht="19" customHeight="1" spans="1:17 16369:16384">
      <c r="A306" s="100">
        <v>28969</v>
      </c>
      <c r="B306" s="68" t="s">
        <v>237</v>
      </c>
      <c r="C306" s="70" t="s">
        <v>179</v>
      </c>
      <c r="D306" s="68">
        <v>13</v>
      </c>
      <c r="E306" s="69" t="s">
        <v>39</v>
      </c>
      <c r="F306" s="105">
        <v>5.65</v>
      </c>
      <c r="G306" s="77">
        <f t="shared" si="29"/>
        <v>73.45</v>
      </c>
      <c r="H306" s="78"/>
      <c r="I306" s="79"/>
      <c r="J306" s="79"/>
      <c r="K306" s="79"/>
      <c r="L306" s="79"/>
      <c r="M306" s="79"/>
      <c r="N306" s="79"/>
      <c r="O306" s="75">
        <v>405398</v>
      </c>
      <c r="P306" s="47">
        <v>8.19</v>
      </c>
      <c r="Q306" s="47"/>
    </row>
    <row r="307" s="3" customFormat="1" ht="19" customHeight="1" spans="1:17 16369:16384">
      <c r="A307" s="67"/>
      <c r="B307" s="68"/>
      <c r="C307" s="69"/>
      <c r="D307" s="68"/>
      <c r="E307" s="69"/>
      <c r="F307" s="76"/>
      <c r="G307" s="77"/>
      <c r="H307" s="78"/>
      <c r="I307" s="79"/>
      <c r="J307" s="79"/>
      <c r="K307" s="79"/>
      <c r="L307" s="79"/>
      <c r="M307" s="79"/>
      <c r="N307" s="79"/>
      <c r="O307" s="23"/>
      <c r="P307" s="47"/>
      <c r="Q307" s="47"/>
    </row>
    <row r="308" s="3" customFormat="1" ht="19" customHeight="1" spans="1:17 16369:16384">
      <c r="A308" s="67"/>
      <c r="B308" s="68"/>
      <c r="C308" s="69"/>
      <c r="D308" s="68"/>
      <c r="E308" s="69"/>
      <c r="F308" s="76"/>
      <c r="G308" s="77"/>
      <c r="H308" s="78"/>
      <c r="I308" s="79"/>
      <c r="J308" s="79"/>
      <c r="K308" s="79"/>
      <c r="L308" s="79"/>
      <c r="M308" s="79"/>
      <c r="N308" s="79"/>
      <c r="O308" s="23"/>
      <c r="P308" s="47"/>
      <c r="Q308" s="47"/>
    </row>
    <row r="309" s="3" customFormat="1" ht="19" customHeight="1" spans="1:17 16369:16384">
      <c r="A309" s="67"/>
      <c r="B309" s="68"/>
      <c r="C309" s="69"/>
      <c r="D309" s="68"/>
      <c r="E309" s="69"/>
      <c r="F309" s="76"/>
      <c r="G309" s="77"/>
      <c r="H309" s="78"/>
      <c r="I309" s="79"/>
      <c r="J309" s="79"/>
      <c r="K309" s="79"/>
      <c r="L309" s="79"/>
      <c r="M309" s="79"/>
      <c r="N309" s="79"/>
      <c r="O309" s="23"/>
      <c r="P309" s="47"/>
      <c r="Q309" s="47"/>
    </row>
    <row r="310" s="3" customFormat="1" ht="19" customHeight="1" spans="1:17 16369:16384">
      <c r="A310" s="67"/>
      <c r="B310" s="68"/>
      <c r="C310" s="69"/>
      <c r="D310" s="68"/>
      <c r="E310" s="69"/>
      <c r="F310" s="76"/>
      <c r="G310" s="77"/>
      <c r="H310" s="78"/>
      <c r="I310" s="79"/>
      <c r="J310" s="79"/>
      <c r="K310" s="79"/>
      <c r="L310" s="79"/>
      <c r="M310" s="79"/>
      <c r="N310" s="79"/>
      <c r="O310" s="23"/>
      <c r="P310" s="47"/>
      <c r="Q310" s="47"/>
    </row>
    <row r="311" s="3" customFormat="1" ht="19" customHeight="1" spans="1:17 16369:16384">
      <c r="A311" s="67"/>
      <c r="B311" s="68"/>
      <c r="C311" s="69"/>
      <c r="D311" s="68"/>
      <c r="E311" s="69"/>
      <c r="F311" s="76"/>
      <c r="G311" s="77"/>
      <c r="H311" s="78"/>
      <c r="I311" s="79"/>
      <c r="J311" s="79"/>
      <c r="K311" s="79"/>
      <c r="L311" s="79"/>
      <c r="M311" s="79"/>
      <c r="N311" s="79"/>
      <c r="O311" s="23"/>
      <c r="P311" s="47"/>
      <c r="Q311" s="47"/>
    </row>
    <row r="312" s="3" customFormat="1" ht="19" customHeight="1" spans="1:17 16369:16384">
      <c r="A312" s="67"/>
      <c r="B312" s="68"/>
      <c r="C312" s="69"/>
      <c r="D312" s="68"/>
      <c r="E312" s="70"/>
      <c r="F312" s="71"/>
      <c r="G312" s="74"/>
      <c r="H312" s="68"/>
      <c r="I312" s="79"/>
      <c r="J312" s="79"/>
      <c r="K312" s="79"/>
      <c r="L312" s="79"/>
      <c r="M312" s="79"/>
      <c r="N312" s="79"/>
      <c r="O312" s="23"/>
      <c r="P312" s="47"/>
      <c r="Q312" s="47"/>
    </row>
    <row r="313" s="5" customFormat="1" ht="20" customHeight="1" spans="1:17 16369:16384">
      <c r="A313" s="113"/>
      <c r="B313" s="114"/>
      <c r="C313" s="109"/>
      <c r="D313" s="114"/>
      <c r="E313" s="108"/>
      <c r="F313" s="115"/>
      <c r="G313" s="116"/>
      <c r="H313" s="114"/>
      <c r="I313" s="114"/>
      <c r="J313" s="117"/>
      <c r="K313" s="118"/>
      <c r="L313" s="118"/>
      <c r="M313" s="118"/>
      <c r="N313" s="68"/>
      <c r="O313" s="14"/>
      <c r="P313" s="15"/>
      <c r="Q313" s="15"/>
      <c r="XEO313" s="102"/>
      <c r="XEP313" s="102"/>
      <c r="XEQ313" s="102"/>
      <c r="XER313" s="102"/>
      <c r="XES313" s="102"/>
      <c r="XET313" s="102"/>
      <c r="XEU313" s="102"/>
      <c r="XEV313" s="102"/>
      <c r="XEW313" s="102"/>
      <c r="XEX313" s="102"/>
      <c r="XEY313" s="102"/>
      <c r="XEZ313" s="102"/>
      <c r="XFA313" s="102"/>
      <c r="XFB313" s="102"/>
      <c r="XFC313" s="102"/>
      <c r="XFD313" s="102"/>
    </row>
    <row r="314" s="6" customFormat="1" customHeight="1" spans="1:17 16369:16384">
      <c r="A314" s="119" t="s">
        <v>238</v>
      </c>
      <c r="B314" s="73"/>
      <c r="C314" s="120">
        <f>SUM(D9:D313)</f>
        <v>20023</v>
      </c>
      <c r="D314" s="121"/>
      <c r="E314" s="122"/>
      <c r="F314" s="71"/>
      <c r="G314" s="123">
        <f>SUM(G9:G313)</f>
        <v>65933.87</v>
      </c>
      <c r="H314" s="124"/>
      <c r="I314" s="125"/>
      <c r="J314" s="126">
        <f>SUM(J9:J313)</f>
        <v>462</v>
      </c>
      <c r="K314" s="127" t="s">
        <v>239</v>
      </c>
      <c r="L314" s="128"/>
      <c r="M314" s="128">
        <f>SUM(M9:M313)</f>
        <v>7556.725</v>
      </c>
      <c r="N314" s="125"/>
      <c r="O314" s="129"/>
      <c r="P314" s="130"/>
      <c r="Q314" s="130"/>
    </row>
    <row r="315" customFormat="1" customHeight="1" spans="1:17 16369:16384">
      <c r="A315" s="7"/>
      <c r="B315" s="8"/>
      <c r="C315" s="7"/>
      <c r="D315" s="7"/>
      <c r="E315" s="7"/>
      <c r="F315" s="9"/>
      <c r="G315" s="9"/>
      <c r="H315" s="10"/>
      <c r="I315" s="11"/>
      <c r="J315" s="12"/>
      <c r="K315" s="13"/>
      <c r="L315" s="13"/>
      <c r="M315" s="13"/>
      <c r="N315" s="11"/>
      <c r="O315" s="14"/>
      <c r="P315" s="94"/>
      <c r="Q315" s="94"/>
    </row>
    <row r="319" customHeight="1" spans="1:17 16369:16384">
      <c r="A319" s="73">
        <v>28791</v>
      </c>
      <c r="B319" s="68" t="s">
        <v>191</v>
      </c>
      <c r="C319" s="70" t="s">
        <v>179</v>
      </c>
      <c r="D319" s="68">
        <v>28</v>
      </c>
      <c r="E319" s="70" t="s">
        <v>39</v>
      </c>
      <c r="F319" s="74">
        <v>5.6</v>
      </c>
      <c r="G319" s="71">
        <f t="shared" ref="G319:G324" si="32">F319*D319</f>
        <v>156.8</v>
      </c>
      <c r="H319" s="68">
        <v>115</v>
      </c>
      <c r="I319" s="68">
        <v>28</v>
      </c>
      <c r="J319" s="131">
        <f>D319/I319</f>
        <v>1</v>
      </c>
      <c r="K319" s="68">
        <v>13.22</v>
      </c>
      <c r="L319" s="68">
        <v>14.22</v>
      </c>
      <c r="M319" s="68">
        <f t="shared" ref="M319:M325" si="33">L319*J319</f>
        <v>14.22</v>
      </c>
      <c r="N319" s="68" t="s">
        <v>180</v>
      </c>
      <c r="O319" s="75">
        <v>405398</v>
      </c>
      <c r="P319" s="47"/>
      <c r="Q319" s="47"/>
    </row>
    <row r="320" customHeight="1" spans="1:17 16369:16384">
      <c r="A320" s="73">
        <v>28791</v>
      </c>
      <c r="B320" s="73">
        <v>39323</v>
      </c>
      <c r="C320" s="70" t="s">
        <v>179</v>
      </c>
      <c r="D320" s="68">
        <v>300</v>
      </c>
      <c r="E320" s="70" t="s">
        <v>39</v>
      </c>
      <c r="F320" s="74">
        <v>5.6</v>
      </c>
      <c r="G320" s="71">
        <f t="shared" si="32"/>
        <v>1680</v>
      </c>
      <c r="H320" s="68">
        <v>115</v>
      </c>
      <c r="I320" s="68">
        <v>30</v>
      </c>
      <c r="J320" s="131">
        <f>D320/I320</f>
        <v>10</v>
      </c>
      <c r="K320" s="68">
        <v>14.16</v>
      </c>
      <c r="L320" s="68">
        <v>15.36</v>
      </c>
      <c r="M320" s="68">
        <f t="shared" si="33"/>
        <v>153.6</v>
      </c>
      <c r="N320" s="68" t="s">
        <v>180</v>
      </c>
      <c r="O320" s="75">
        <v>405398</v>
      </c>
      <c r="P320" s="47"/>
      <c r="Q320" s="47"/>
    </row>
    <row r="321" customHeight="1" spans="1:17">
      <c r="A321" s="73">
        <v>28796</v>
      </c>
      <c r="B321" s="68" t="s">
        <v>192</v>
      </c>
      <c r="C321" s="70" t="s">
        <v>179</v>
      </c>
      <c r="D321" s="68">
        <v>60</v>
      </c>
      <c r="E321" s="70" t="s">
        <v>39</v>
      </c>
      <c r="F321" s="105">
        <v>5.4</v>
      </c>
      <c r="G321" s="88">
        <f t="shared" si="32"/>
        <v>324</v>
      </c>
      <c r="H321" s="68">
        <v>115</v>
      </c>
      <c r="I321" s="68">
        <v>30</v>
      </c>
      <c r="J321" s="131">
        <f>D321/I321</f>
        <v>2</v>
      </c>
      <c r="K321" s="68">
        <v>16.5</v>
      </c>
      <c r="L321" s="68">
        <v>17.5</v>
      </c>
      <c r="M321" s="68">
        <f t="shared" si="33"/>
        <v>35</v>
      </c>
      <c r="N321" s="68" t="s">
        <v>180</v>
      </c>
      <c r="O321" s="23">
        <v>420867</v>
      </c>
      <c r="P321" s="47"/>
      <c r="Q321" s="47"/>
    </row>
    <row r="322" customHeight="1" spans="1:17">
      <c r="A322" s="106">
        <v>28796</v>
      </c>
      <c r="B322" s="68" t="s">
        <v>192</v>
      </c>
      <c r="C322" s="70" t="s">
        <v>179</v>
      </c>
      <c r="D322" s="68">
        <v>28</v>
      </c>
      <c r="E322" s="70" t="s">
        <v>39</v>
      </c>
      <c r="F322" s="74">
        <v>5.6</v>
      </c>
      <c r="G322" s="71">
        <f t="shared" si="32"/>
        <v>156.8</v>
      </c>
      <c r="H322" s="68">
        <v>115</v>
      </c>
      <c r="I322" s="68">
        <v>28</v>
      </c>
      <c r="J322" s="131">
        <v>1</v>
      </c>
      <c r="K322" s="68">
        <v>15.4</v>
      </c>
      <c r="L322" s="68">
        <v>16.4</v>
      </c>
      <c r="M322" s="68">
        <f t="shared" si="33"/>
        <v>16.4</v>
      </c>
      <c r="N322" s="68" t="s">
        <v>180</v>
      </c>
      <c r="O322" s="75">
        <v>405398</v>
      </c>
      <c r="P322" s="47"/>
      <c r="Q322" s="47"/>
    </row>
    <row r="323" customHeight="1" spans="1:17">
      <c r="A323" s="106">
        <v>28796</v>
      </c>
      <c r="B323" s="68" t="s">
        <v>192</v>
      </c>
      <c r="C323" s="70" t="s">
        <v>179</v>
      </c>
      <c r="D323" s="68">
        <v>900</v>
      </c>
      <c r="E323" s="70" t="s">
        <v>39</v>
      </c>
      <c r="F323" s="74">
        <v>5.6</v>
      </c>
      <c r="G323" s="71">
        <f t="shared" si="32"/>
        <v>5040</v>
      </c>
      <c r="H323" s="68">
        <v>115</v>
      </c>
      <c r="I323" s="68">
        <v>30</v>
      </c>
      <c r="J323" s="131">
        <f>D323/I323</f>
        <v>30</v>
      </c>
      <c r="K323" s="68">
        <v>16.5</v>
      </c>
      <c r="L323" s="68">
        <v>17.7</v>
      </c>
      <c r="M323" s="68">
        <f t="shared" si="33"/>
        <v>531</v>
      </c>
      <c r="N323" s="68" t="s">
        <v>180</v>
      </c>
      <c r="O323" s="75">
        <v>405398</v>
      </c>
      <c r="P323" s="47"/>
      <c r="Q323" s="47"/>
    </row>
    <row r="324" customHeight="1" spans="1:17">
      <c r="A324" s="73">
        <v>28808</v>
      </c>
      <c r="B324" s="73" t="s">
        <v>194</v>
      </c>
      <c r="C324" s="70" t="s">
        <v>179</v>
      </c>
      <c r="D324" s="68">
        <v>360</v>
      </c>
      <c r="E324" s="70" t="s">
        <v>39</v>
      </c>
      <c r="F324" s="74">
        <v>5.6</v>
      </c>
      <c r="G324" s="71">
        <f t="shared" si="32"/>
        <v>2016</v>
      </c>
      <c r="H324" s="68">
        <v>115</v>
      </c>
      <c r="I324" s="68">
        <v>30</v>
      </c>
      <c r="J324" s="131">
        <f>D324/I324</f>
        <v>12</v>
      </c>
      <c r="K324" s="68">
        <v>13.96</v>
      </c>
      <c r="L324" s="68">
        <v>15.16</v>
      </c>
      <c r="M324" s="68">
        <f t="shared" si="33"/>
        <v>181.92</v>
      </c>
      <c r="N324" s="68" t="s">
        <v>180</v>
      </c>
      <c r="O324" s="75">
        <v>405398</v>
      </c>
      <c r="P324" s="47"/>
      <c r="Q324" s="47"/>
    </row>
    <row r="325" customHeight="1" spans="1:17">
      <c r="A325" s="73">
        <v>28588</v>
      </c>
      <c r="B325" s="68" t="s">
        <v>182</v>
      </c>
      <c r="C325" s="70" t="s">
        <v>179</v>
      </c>
      <c r="D325" s="68">
        <v>10</v>
      </c>
      <c r="E325" s="70" t="s">
        <v>39</v>
      </c>
      <c r="F325" s="74">
        <v>5.65</v>
      </c>
      <c r="G325" s="71">
        <f t="shared" ref="G319:G359" si="34">F325*D325</f>
        <v>56.5</v>
      </c>
      <c r="H325" s="80">
        <v>115</v>
      </c>
      <c r="I325" s="80">
        <v>30</v>
      </c>
      <c r="J325" s="132">
        <v>1</v>
      </c>
      <c r="K325" s="80">
        <v>16.07</v>
      </c>
      <c r="L325" s="80">
        <v>17.07</v>
      </c>
      <c r="M325" s="80">
        <f t="shared" si="33"/>
        <v>17.07</v>
      </c>
      <c r="N325" s="80" t="s">
        <v>180</v>
      </c>
      <c r="O325" s="75">
        <v>405398</v>
      </c>
      <c r="P325" s="47">
        <v>5.4</v>
      </c>
      <c r="Q325" s="47"/>
    </row>
    <row r="326" customHeight="1" spans="1:17">
      <c r="A326" s="73">
        <v>28712</v>
      </c>
      <c r="B326" s="68" t="s">
        <v>187</v>
      </c>
      <c r="C326" s="70" t="s">
        <v>179</v>
      </c>
      <c r="D326" s="68">
        <v>19</v>
      </c>
      <c r="E326" s="70" t="s">
        <v>39</v>
      </c>
      <c r="F326" s="74">
        <v>5.7</v>
      </c>
      <c r="G326" s="71">
        <f t="shared" si="34"/>
        <v>108.3</v>
      </c>
      <c r="H326" s="81"/>
      <c r="I326" s="81"/>
      <c r="J326" s="133"/>
      <c r="K326" s="81"/>
      <c r="L326" s="81"/>
      <c r="M326" s="81"/>
      <c r="N326" s="81"/>
      <c r="O326" s="75">
        <v>405398</v>
      </c>
      <c r="P326" s="47">
        <v>10.07</v>
      </c>
      <c r="Q326" s="47"/>
    </row>
    <row r="327" customHeight="1" spans="1:17">
      <c r="A327" s="73">
        <v>28753</v>
      </c>
      <c r="B327" s="73">
        <v>593920</v>
      </c>
      <c r="C327" s="70" t="s">
        <v>179</v>
      </c>
      <c r="D327" s="68">
        <v>1</v>
      </c>
      <c r="E327" s="70" t="s">
        <v>39</v>
      </c>
      <c r="F327" s="74">
        <v>5.7</v>
      </c>
      <c r="G327" s="71">
        <f t="shared" si="34"/>
        <v>5.7</v>
      </c>
      <c r="H327" s="79"/>
      <c r="I327" s="79"/>
      <c r="J327" s="134"/>
      <c r="K327" s="79"/>
      <c r="L327" s="79"/>
      <c r="M327" s="79"/>
      <c r="N327" s="79"/>
      <c r="O327" s="75">
        <v>405398</v>
      </c>
      <c r="P327" s="47">
        <v>0.6</v>
      </c>
      <c r="Q327" s="47"/>
    </row>
    <row r="328" customHeight="1" spans="1:17">
      <c r="A328" s="73">
        <v>28621</v>
      </c>
      <c r="B328" s="68" t="s">
        <v>184</v>
      </c>
      <c r="C328" s="70" t="s">
        <v>179</v>
      </c>
      <c r="D328" s="68">
        <v>28</v>
      </c>
      <c r="E328" s="70" t="s">
        <v>39</v>
      </c>
      <c r="F328" s="74">
        <v>5.7</v>
      </c>
      <c r="G328" s="71">
        <f t="shared" si="34"/>
        <v>159.6</v>
      </c>
      <c r="H328" s="80">
        <v>115</v>
      </c>
      <c r="I328" s="80">
        <v>30</v>
      </c>
      <c r="J328" s="132">
        <v>1</v>
      </c>
      <c r="K328" s="80">
        <v>14.56</v>
      </c>
      <c r="L328" s="80">
        <v>15.56</v>
      </c>
      <c r="M328" s="80">
        <f t="shared" ref="M328:M332" si="35">L328*J328</f>
        <v>15.56</v>
      </c>
      <c r="N328" s="80" t="s">
        <v>180</v>
      </c>
      <c r="O328" s="75">
        <v>405398</v>
      </c>
      <c r="P328" s="47">
        <v>13.72</v>
      </c>
      <c r="Q328" s="47"/>
    </row>
    <row r="329" customHeight="1" spans="1:17">
      <c r="A329" s="73">
        <v>28681</v>
      </c>
      <c r="B329" s="68" t="s">
        <v>198</v>
      </c>
      <c r="C329" s="70" t="s">
        <v>179</v>
      </c>
      <c r="D329" s="68">
        <v>2</v>
      </c>
      <c r="E329" s="70" t="s">
        <v>39</v>
      </c>
      <c r="F329" s="74">
        <v>5.75</v>
      </c>
      <c r="G329" s="71">
        <f t="shared" si="34"/>
        <v>11.5</v>
      </c>
      <c r="H329" s="79"/>
      <c r="I329" s="79"/>
      <c r="J329" s="134"/>
      <c r="K329" s="79"/>
      <c r="L329" s="79"/>
      <c r="M329" s="79"/>
      <c r="N329" s="79"/>
      <c r="O329" s="75">
        <v>405398</v>
      </c>
      <c r="P329" s="47">
        <v>0.84</v>
      </c>
      <c r="Q329" s="47"/>
    </row>
    <row r="330" customHeight="1" spans="1:17">
      <c r="A330" s="73">
        <v>28795</v>
      </c>
      <c r="B330" s="107" t="s">
        <v>199</v>
      </c>
      <c r="C330" s="70" t="s">
        <v>179</v>
      </c>
      <c r="D330" s="107">
        <v>18</v>
      </c>
      <c r="E330" s="70" t="s">
        <v>39</v>
      </c>
      <c r="F330" s="74">
        <v>5.75</v>
      </c>
      <c r="G330" s="71">
        <f t="shared" si="34"/>
        <v>103.5</v>
      </c>
      <c r="H330" s="80">
        <v>115</v>
      </c>
      <c r="I330" s="80">
        <v>30</v>
      </c>
      <c r="J330" s="132">
        <v>1</v>
      </c>
      <c r="K330" s="80">
        <v>13.9</v>
      </c>
      <c r="L330" s="80">
        <v>14.9</v>
      </c>
      <c r="M330" s="80">
        <f t="shared" si="35"/>
        <v>14.9</v>
      </c>
      <c r="N330" s="80" t="s">
        <v>180</v>
      </c>
      <c r="O330" s="75">
        <v>405398</v>
      </c>
      <c r="P330" s="47">
        <v>9.4536</v>
      </c>
      <c r="Q330" s="47"/>
    </row>
    <row r="331" customHeight="1" spans="1:17">
      <c r="A331" s="73">
        <v>28612</v>
      </c>
      <c r="B331" s="73">
        <v>39339</v>
      </c>
      <c r="C331" s="70" t="s">
        <v>179</v>
      </c>
      <c r="D331" s="68">
        <v>12</v>
      </c>
      <c r="E331" s="70" t="s">
        <v>39</v>
      </c>
      <c r="F331" s="74">
        <v>5.75</v>
      </c>
      <c r="G331" s="71">
        <f t="shared" si="34"/>
        <v>69</v>
      </c>
      <c r="H331" s="79"/>
      <c r="I331" s="79"/>
      <c r="J331" s="134"/>
      <c r="K331" s="79"/>
      <c r="L331" s="79"/>
      <c r="M331" s="79"/>
      <c r="N331" s="79"/>
      <c r="O331" s="75">
        <v>405398</v>
      </c>
      <c r="P331" s="47">
        <v>4.44</v>
      </c>
      <c r="Q331" s="47"/>
    </row>
    <row r="332" customHeight="1" spans="1:17">
      <c r="A332" s="73">
        <v>28806</v>
      </c>
      <c r="B332" s="68" t="s">
        <v>200</v>
      </c>
      <c r="C332" s="70" t="s">
        <v>179</v>
      </c>
      <c r="D332" s="68">
        <v>26</v>
      </c>
      <c r="E332" s="70" t="s">
        <v>39</v>
      </c>
      <c r="F332" s="74">
        <v>5.75</v>
      </c>
      <c r="G332" s="71">
        <f t="shared" si="34"/>
        <v>149.5</v>
      </c>
      <c r="H332" s="80">
        <v>115</v>
      </c>
      <c r="I332" s="80">
        <v>30</v>
      </c>
      <c r="J332" s="132">
        <v>1</v>
      </c>
      <c r="K332" s="80">
        <v>12.66</v>
      </c>
      <c r="L332" s="80">
        <v>13.66</v>
      </c>
      <c r="M332" s="80">
        <f t="shared" si="35"/>
        <v>13.66</v>
      </c>
      <c r="N332" s="80" t="s">
        <v>180</v>
      </c>
      <c r="O332" s="75">
        <v>405398</v>
      </c>
      <c r="P332" s="47">
        <v>10.01</v>
      </c>
      <c r="Q332" s="47"/>
    </row>
    <row r="333" customHeight="1" spans="1:17">
      <c r="A333" s="73">
        <v>28961</v>
      </c>
      <c r="B333" s="68" t="s">
        <v>201</v>
      </c>
      <c r="C333" s="70" t="s">
        <v>179</v>
      </c>
      <c r="D333" s="68">
        <v>4</v>
      </c>
      <c r="E333" s="70" t="s">
        <v>39</v>
      </c>
      <c r="F333" s="74">
        <v>5.75</v>
      </c>
      <c r="G333" s="71">
        <f t="shared" si="34"/>
        <v>23</v>
      </c>
      <c r="H333" s="79"/>
      <c r="I333" s="79"/>
      <c r="J333" s="134"/>
      <c r="K333" s="79"/>
      <c r="L333" s="79"/>
      <c r="M333" s="79"/>
      <c r="N333" s="79"/>
      <c r="O333" s="75">
        <v>405398</v>
      </c>
      <c r="P333" s="47">
        <v>2.656</v>
      </c>
      <c r="Q333" s="47"/>
    </row>
    <row r="334" customHeight="1" spans="1:17">
      <c r="A334" s="73">
        <v>28602</v>
      </c>
      <c r="B334" s="73">
        <v>391009</v>
      </c>
      <c r="C334" s="70" t="s">
        <v>179</v>
      </c>
      <c r="D334" s="68">
        <v>23</v>
      </c>
      <c r="E334" s="70" t="s">
        <v>39</v>
      </c>
      <c r="F334" s="74">
        <v>5.6</v>
      </c>
      <c r="G334" s="71">
        <f t="shared" si="34"/>
        <v>128.8</v>
      </c>
      <c r="H334" s="80">
        <v>115</v>
      </c>
      <c r="I334" s="80">
        <v>30</v>
      </c>
      <c r="J334" s="132">
        <v>1</v>
      </c>
      <c r="K334" s="80">
        <v>13.7</v>
      </c>
      <c r="L334" s="80">
        <v>14.7</v>
      </c>
      <c r="M334" s="80">
        <f t="shared" ref="M334:M338" si="36">L334*J334</f>
        <v>14.7</v>
      </c>
      <c r="N334" s="80" t="s">
        <v>180</v>
      </c>
      <c r="O334" s="75">
        <v>405398</v>
      </c>
      <c r="P334" s="47">
        <v>11.04</v>
      </c>
      <c r="Q334" s="47"/>
    </row>
    <row r="335" customHeight="1" spans="1:17">
      <c r="A335" s="73">
        <v>28685</v>
      </c>
      <c r="B335" s="68" t="s">
        <v>202</v>
      </c>
      <c r="C335" s="70" t="s">
        <v>179</v>
      </c>
      <c r="D335" s="68">
        <v>7</v>
      </c>
      <c r="E335" s="70" t="s">
        <v>39</v>
      </c>
      <c r="F335" s="74">
        <v>5.75</v>
      </c>
      <c r="G335" s="71">
        <f t="shared" si="34"/>
        <v>40.25</v>
      </c>
      <c r="H335" s="79"/>
      <c r="I335" s="79"/>
      <c r="J335" s="134"/>
      <c r="K335" s="79"/>
      <c r="L335" s="79"/>
      <c r="M335" s="79"/>
      <c r="N335" s="79"/>
      <c r="O335" s="75">
        <v>405398</v>
      </c>
      <c r="P335" s="47">
        <v>2.66</v>
      </c>
      <c r="Q335" s="47"/>
    </row>
    <row r="336" customHeight="1" spans="1:17">
      <c r="A336" s="73">
        <v>28653</v>
      </c>
      <c r="B336" s="73" t="s">
        <v>185</v>
      </c>
      <c r="C336" s="70" t="s">
        <v>179</v>
      </c>
      <c r="D336" s="68">
        <v>25</v>
      </c>
      <c r="E336" s="70" t="s">
        <v>39</v>
      </c>
      <c r="F336" s="74">
        <v>5.6</v>
      </c>
      <c r="G336" s="71">
        <f t="shared" si="34"/>
        <v>140</v>
      </c>
      <c r="H336" s="80">
        <v>115</v>
      </c>
      <c r="I336" s="80">
        <v>30</v>
      </c>
      <c r="J336" s="132">
        <v>1</v>
      </c>
      <c r="K336" s="80">
        <v>14.75</v>
      </c>
      <c r="L336" s="80">
        <v>15.75</v>
      </c>
      <c r="M336" s="80">
        <f t="shared" si="36"/>
        <v>15.75</v>
      </c>
      <c r="N336" s="80" t="s">
        <v>180</v>
      </c>
      <c r="O336" s="75">
        <v>405398</v>
      </c>
      <c r="P336" s="47">
        <v>12.3</v>
      </c>
      <c r="Q336" s="47"/>
    </row>
    <row r="337" customHeight="1" spans="1:17">
      <c r="A337" s="73">
        <v>28583</v>
      </c>
      <c r="B337" s="68" t="s">
        <v>181</v>
      </c>
      <c r="C337" s="70" t="s">
        <v>179</v>
      </c>
      <c r="D337" s="68">
        <v>5</v>
      </c>
      <c r="E337" s="70" t="s">
        <v>39</v>
      </c>
      <c r="F337" s="74">
        <v>5.6</v>
      </c>
      <c r="G337" s="71">
        <f t="shared" si="34"/>
        <v>28</v>
      </c>
      <c r="H337" s="79"/>
      <c r="I337" s="79"/>
      <c r="J337" s="134"/>
      <c r="K337" s="79"/>
      <c r="L337" s="79"/>
      <c r="M337" s="79"/>
      <c r="N337" s="79"/>
      <c r="O337" s="75">
        <v>405398</v>
      </c>
      <c r="P337" s="47">
        <v>2.45</v>
      </c>
      <c r="Q337" s="47"/>
    </row>
    <row r="338" customHeight="1" spans="1:17">
      <c r="A338" s="73">
        <v>28759</v>
      </c>
      <c r="B338" s="68" t="s">
        <v>203</v>
      </c>
      <c r="C338" s="70" t="s">
        <v>179</v>
      </c>
      <c r="D338" s="68">
        <v>16</v>
      </c>
      <c r="E338" s="70" t="s">
        <v>39</v>
      </c>
      <c r="F338" s="74">
        <v>5.75</v>
      </c>
      <c r="G338" s="71">
        <f t="shared" si="34"/>
        <v>92</v>
      </c>
      <c r="H338" s="80">
        <v>115</v>
      </c>
      <c r="I338" s="80">
        <v>30</v>
      </c>
      <c r="J338" s="132">
        <v>1</v>
      </c>
      <c r="K338" s="80">
        <v>14.48</v>
      </c>
      <c r="L338" s="80">
        <v>15.48</v>
      </c>
      <c r="M338" s="80">
        <f t="shared" si="36"/>
        <v>15.48</v>
      </c>
      <c r="N338" s="80" t="s">
        <v>180</v>
      </c>
      <c r="O338" s="75">
        <v>405398</v>
      </c>
      <c r="P338" s="47">
        <v>8.32</v>
      </c>
      <c r="Q338" s="47"/>
    </row>
    <row r="339" customHeight="1" spans="1:17">
      <c r="A339" s="73">
        <v>28893</v>
      </c>
      <c r="B339" s="68" t="s">
        <v>197</v>
      </c>
      <c r="C339" s="70" t="s">
        <v>179</v>
      </c>
      <c r="D339" s="68">
        <v>14</v>
      </c>
      <c r="E339" s="70" t="s">
        <v>39</v>
      </c>
      <c r="F339" s="74">
        <v>5.6</v>
      </c>
      <c r="G339" s="71">
        <f t="shared" si="34"/>
        <v>78.4</v>
      </c>
      <c r="H339" s="79"/>
      <c r="I339" s="79"/>
      <c r="J339" s="134"/>
      <c r="K339" s="79"/>
      <c r="L339" s="79"/>
      <c r="M339" s="79"/>
      <c r="N339" s="79"/>
      <c r="O339" s="75">
        <v>405398</v>
      </c>
      <c r="P339" s="47">
        <v>6.16</v>
      </c>
      <c r="Q339" s="47"/>
    </row>
    <row r="340" customHeight="1" spans="1:17">
      <c r="A340" s="73">
        <v>28643</v>
      </c>
      <c r="B340" s="68" t="s">
        <v>206</v>
      </c>
      <c r="C340" s="70" t="s">
        <v>179</v>
      </c>
      <c r="D340" s="68">
        <v>12</v>
      </c>
      <c r="E340" s="70" t="s">
        <v>39</v>
      </c>
      <c r="F340" s="74">
        <v>5.75</v>
      </c>
      <c r="G340" s="71">
        <f t="shared" si="34"/>
        <v>69</v>
      </c>
      <c r="H340" s="80">
        <v>115</v>
      </c>
      <c r="I340" s="80">
        <v>30</v>
      </c>
      <c r="J340" s="132">
        <v>1</v>
      </c>
      <c r="K340" s="80">
        <v>14.4</v>
      </c>
      <c r="L340" s="80">
        <v>15.4</v>
      </c>
      <c r="M340" s="80">
        <f>L340*J340</f>
        <v>15.4</v>
      </c>
      <c r="N340" s="80" t="s">
        <v>180</v>
      </c>
      <c r="O340" s="75">
        <v>405398</v>
      </c>
      <c r="P340" s="47">
        <v>6.36</v>
      </c>
      <c r="Q340" s="47"/>
    </row>
    <row r="341" customHeight="1" spans="1:17">
      <c r="A341" s="73">
        <v>28694</v>
      </c>
      <c r="B341" s="68" t="s">
        <v>207</v>
      </c>
      <c r="C341" s="70" t="s">
        <v>179</v>
      </c>
      <c r="D341" s="68">
        <v>12</v>
      </c>
      <c r="E341" s="70" t="s">
        <v>39</v>
      </c>
      <c r="F341" s="74">
        <v>5.75</v>
      </c>
      <c r="G341" s="71">
        <f t="shared" si="34"/>
        <v>69</v>
      </c>
      <c r="H341" s="81"/>
      <c r="I341" s="81"/>
      <c r="J341" s="133"/>
      <c r="K341" s="81"/>
      <c r="L341" s="81"/>
      <c r="M341" s="81"/>
      <c r="N341" s="81"/>
      <c r="O341" s="75">
        <v>405398</v>
      </c>
      <c r="P341" s="47">
        <v>4.8624</v>
      </c>
      <c r="Q341" s="47"/>
    </row>
    <row r="342" customHeight="1" spans="1:17">
      <c r="A342" s="73">
        <v>28732</v>
      </c>
      <c r="B342" s="68" t="s">
        <v>208</v>
      </c>
      <c r="C342" s="70" t="s">
        <v>179</v>
      </c>
      <c r="D342" s="68">
        <v>6</v>
      </c>
      <c r="E342" s="70" t="s">
        <v>39</v>
      </c>
      <c r="F342" s="74">
        <v>2.75</v>
      </c>
      <c r="G342" s="71">
        <f t="shared" si="34"/>
        <v>16.5</v>
      </c>
      <c r="H342" s="79"/>
      <c r="I342" s="79"/>
      <c r="J342" s="134"/>
      <c r="K342" s="79"/>
      <c r="L342" s="79"/>
      <c r="M342" s="79"/>
      <c r="N342" s="79"/>
      <c r="O342" s="75">
        <v>405398</v>
      </c>
      <c r="P342" s="47">
        <v>3.12</v>
      </c>
      <c r="Q342" s="47"/>
    </row>
    <row r="343" customHeight="1" spans="1:17">
      <c r="A343" s="73" t="s">
        <v>209</v>
      </c>
      <c r="B343" s="68" t="s">
        <v>210</v>
      </c>
      <c r="C343" s="70" t="s">
        <v>179</v>
      </c>
      <c r="D343" s="68">
        <v>21</v>
      </c>
      <c r="E343" s="70" t="s">
        <v>39</v>
      </c>
      <c r="F343" s="74">
        <v>5.75</v>
      </c>
      <c r="G343" s="71">
        <f t="shared" si="34"/>
        <v>120.75</v>
      </c>
      <c r="H343" s="80">
        <v>115</v>
      </c>
      <c r="I343" s="80">
        <v>30</v>
      </c>
      <c r="J343" s="132">
        <v>1</v>
      </c>
      <c r="K343" s="80">
        <v>14.5</v>
      </c>
      <c r="L343" s="80">
        <v>15.5</v>
      </c>
      <c r="M343" s="80">
        <f>L343*J343</f>
        <v>15.5</v>
      </c>
      <c r="N343" s="80" t="s">
        <v>180</v>
      </c>
      <c r="O343" s="75">
        <v>405398</v>
      </c>
      <c r="P343" s="47">
        <v>11</v>
      </c>
      <c r="Q343" s="47"/>
    </row>
    <row r="344" customHeight="1" spans="1:17">
      <c r="A344" s="73">
        <v>28619</v>
      </c>
      <c r="B344" s="68" t="s">
        <v>183</v>
      </c>
      <c r="C344" s="70" t="s">
        <v>179</v>
      </c>
      <c r="D344" s="68">
        <v>9</v>
      </c>
      <c r="E344" s="70" t="s">
        <v>39</v>
      </c>
      <c r="F344" s="74">
        <v>5.65</v>
      </c>
      <c r="G344" s="71">
        <f t="shared" si="34"/>
        <v>50.85</v>
      </c>
      <c r="H344" s="79"/>
      <c r="I344" s="79"/>
      <c r="J344" s="134"/>
      <c r="K344" s="79"/>
      <c r="L344" s="79"/>
      <c r="M344" s="79"/>
      <c r="N344" s="79"/>
      <c r="O344" s="75">
        <v>405398</v>
      </c>
      <c r="P344" s="47">
        <v>3.474</v>
      </c>
      <c r="Q344" s="47"/>
    </row>
    <row r="345" customHeight="1" spans="1:17">
      <c r="A345" s="73">
        <v>28773</v>
      </c>
      <c r="B345" s="68" t="s">
        <v>211</v>
      </c>
      <c r="C345" s="70" t="s">
        <v>179</v>
      </c>
      <c r="D345" s="68">
        <v>3</v>
      </c>
      <c r="E345" s="70" t="s">
        <v>39</v>
      </c>
      <c r="F345" s="74">
        <v>5.75</v>
      </c>
      <c r="G345" s="71">
        <f t="shared" si="34"/>
        <v>17.25</v>
      </c>
      <c r="H345" s="80">
        <v>115</v>
      </c>
      <c r="I345" s="80">
        <v>30</v>
      </c>
      <c r="J345" s="132">
        <v>1</v>
      </c>
      <c r="K345" s="80">
        <v>15.4</v>
      </c>
      <c r="L345" s="80">
        <v>16.4</v>
      </c>
      <c r="M345" s="80">
        <f>L345*J345</f>
        <v>16.4</v>
      </c>
      <c r="N345" s="80" t="s">
        <v>180</v>
      </c>
      <c r="O345" s="75">
        <v>405398</v>
      </c>
      <c r="P345" s="47">
        <v>1.62</v>
      </c>
      <c r="Q345" s="47"/>
    </row>
    <row r="346" customHeight="1" spans="1:17">
      <c r="A346" s="73" t="s">
        <v>212</v>
      </c>
      <c r="B346" s="68" t="s">
        <v>213</v>
      </c>
      <c r="C346" s="70" t="s">
        <v>179</v>
      </c>
      <c r="D346" s="68">
        <v>4</v>
      </c>
      <c r="E346" s="70" t="s">
        <v>39</v>
      </c>
      <c r="F346" s="74">
        <v>5.6</v>
      </c>
      <c r="G346" s="71">
        <f t="shared" si="34"/>
        <v>22.4</v>
      </c>
      <c r="H346" s="81"/>
      <c r="I346" s="81"/>
      <c r="J346" s="133"/>
      <c r="K346" s="81"/>
      <c r="L346" s="81"/>
      <c r="M346" s="81"/>
      <c r="N346" s="81"/>
      <c r="O346" s="75">
        <v>405398</v>
      </c>
      <c r="P346" s="47">
        <v>2</v>
      </c>
      <c r="Q346" s="47"/>
    </row>
    <row r="347" customHeight="1" spans="1:17">
      <c r="A347" s="73">
        <v>28622</v>
      </c>
      <c r="B347" s="68" t="s">
        <v>214</v>
      </c>
      <c r="C347" s="70" t="s">
        <v>179</v>
      </c>
      <c r="D347" s="68">
        <v>4</v>
      </c>
      <c r="E347" s="70" t="s">
        <v>39</v>
      </c>
      <c r="F347" s="74">
        <v>5.75</v>
      </c>
      <c r="G347" s="71">
        <f t="shared" si="34"/>
        <v>23</v>
      </c>
      <c r="H347" s="81"/>
      <c r="I347" s="81"/>
      <c r="J347" s="133"/>
      <c r="K347" s="81"/>
      <c r="L347" s="81"/>
      <c r="M347" s="81"/>
      <c r="N347" s="81"/>
      <c r="O347" s="75">
        <v>405398</v>
      </c>
      <c r="P347" s="47">
        <v>2.2208</v>
      </c>
      <c r="Q347" s="47"/>
    </row>
    <row r="348" customHeight="1" spans="1:17">
      <c r="A348" s="73">
        <v>28743</v>
      </c>
      <c r="B348" s="73" t="s">
        <v>215</v>
      </c>
      <c r="C348" s="70" t="s">
        <v>179</v>
      </c>
      <c r="D348" s="68">
        <v>4</v>
      </c>
      <c r="E348" s="70" t="s">
        <v>39</v>
      </c>
      <c r="F348" s="74">
        <v>5.75</v>
      </c>
      <c r="G348" s="71">
        <f t="shared" si="34"/>
        <v>23</v>
      </c>
      <c r="H348" s="81"/>
      <c r="I348" s="81"/>
      <c r="J348" s="133"/>
      <c r="K348" s="81"/>
      <c r="L348" s="81"/>
      <c r="M348" s="81"/>
      <c r="N348" s="81"/>
      <c r="O348" s="75">
        <v>405398</v>
      </c>
      <c r="P348" s="47">
        <v>2.2</v>
      </c>
      <c r="Q348" s="47"/>
    </row>
    <row r="349" customHeight="1" spans="1:17">
      <c r="A349" s="73">
        <v>28798</v>
      </c>
      <c r="B349" s="68" t="s">
        <v>193</v>
      </c>
      <c r="C349" s="70" t="s">
        <v>179</v>
      </c>
      <c r="D349" s="68">
        <v>15</v>
      </c>
      <c r="E349" s="70" t="s">
        <v>39</v>
      </c>
      <c r="F349" s="74">
        <v>5.75</v>
      </c>
      <c r="G349" s="71">
        <f t="shared" si="34"/>
        <v>86.25</v>
      </c>
      <c r="H349" s="79"/>
      <c r="I349" s="79"/>
      <c r="J349" s="134"/>
      <c r="K349" s="79"/>
      <c r="L349" s="79"/>
      <c r="M349" s="79"/>
      <c r="N349" s="79"/>
      <c r="O349" s="75">
        <v>405398</v>
      </c>
      <c r="P349" s="47">
        <v>7.35</v>
      </c>
      <c r="Q349" s="47"/>
    </row>
    <row r="350" customHeight="1" spans="1:17">
      <c r="A350" s="73">
        <v>28765</v>
      </c>
      <c r="B350" s="68" t="s">
        <v>189</v>
      </c>
      <c r="C350" s="70" t="s">
        <v>179</v>
      </c>
      <c r="D350" s="68">
        <v>21</v>
      </c>
      <c r="E350" s="70" t="s">
        <v>39</v>
      </c>
      <c r="F350" s="74">
        <v>5.7</v>
      </c>
      <c r="G350" s="71">
        <f t="shared" si="34"/>
        <v>119.7</v>
      </c>
      <c r="H350" s="80">
        <v>115</v>
      </c>
      <c r="I350" s="80">
        <v>30</v>
      </c>
      <c r="J350" s="132">
        <v>1</v>
      </c>
      <c r="K350" s="80">
        <v>11.9</v>
      </c>
      <c r="L350" s="80">
        <v>12.9</v>
      </c>
      <c r="M350" s="80">
        <f>L350*J350</f>
        <v>12.9</v>
      </c>
      <c r="N350" s="80" t="s">
        <v>180</v>
      </c>
      <c r="O350" s="75">
        <v>405398</v>
      </c>
      <c r="P350" s="47">
        <v>7.8792</v>
      </c>
      <c r="Q350" s="47"/>
    </row>
    <row r="351" customHeight="1" spans="1:17">
      <c r="A351" s="73">
        <v>28755</v>
      </c>
      <c r="B351" s="68" t="s">
        <v>216</v>
      </c>
      <c r="C351" s="70" t="s">
        <v>179</v>
      </c>
      <c r="D351" s="68">
        <v>4</v>
      </c>
      <c r="E351" s="70" t="s">
        <v>39</v>
      </c>
      <c r="F351" s="74">
        <v>5.75</v>
      </c>
      <c r="G351" s="71">
        <f t="shared" si="34"/>
        <v>23</v>
      </c>
      <c r="H351" s="81"/>
      <c r="I351" s="81"/>
      <c r="J351" s="133"/>
      <c r="K351" s="81"/>
      <c r="L351" s="81"/>
      <c r="M351" s="81"/>
      <c r="N351" s="81"/>
      <c r="O351" s="75">
        <v>405398</v>
      </c>
      <c r="P351" s="47">
        <v>1.6</v>
      </c>
      <c r="Q351" s="47"/>
    </row>
    <row r="352" customHeight="1" spans="1:17">
      <c r="A352" s="73">
        <v>28876</v>
      </c>
      <c r="B352" s="73" t="s">
        <v>217</v>
      </c>
      <c r="C352" s="70" t="s">
        <v>179</v>
      </c>
      <c r="D352" s="68">
        <v>5</v>
      </c>
      <c r="E352" s="70" t="s">
        <v>39</v>
      </c>
      <c r="F352" s="74">
        <v>5.75</v>
      </c>
      <c r="G352" s="71">
        <f t="shared" si="34"/>
        <v>28.75</v>
      </c>
      <c r="H352" s="81"/>
      <c r="I352" s="81"/>
      <c r="J352" s="133"/>
      <c r="K352" s="81"/>
      <c r="L352" s="81"/>
      <c r="M352" s="81"/>
      <c r="N352" s="81"/>
      <c r="O352" s="75">
        <v>405398</v>
      </c>
      <c r="P352" s="47">
        <v>2.4</v>
      </c>
      <c r="Q352" s="47"/>
    </row>
    <row r="353" customHeight="1" spans="1:17">
      <c r="A353" s="73">
        <v>28737</v>
      </c>
      <c r="B353" s="68" t="s">
        <v>188</v>
      </c>
      <c r="C353" s="70" t="s">
        <v>179</v>
      </c>
      <c r="D353" s="68">
        <v>23</v>
      </c>
      <c r="E353" s="70" t="s">
        <v>39</v>
      </c>
      <c r="F353" s="74">
        <v>5.6</v>
      </c>
      <c r="G353" s="71">
        <f t="shared" si="34"/>
        <v>128.8</v>
      </c>
      <c r="H353" s="80">
        <v>115</v>
      </c>
      <c r="I353" s="80">
        <v>30</v>
      </c>
      <c r="J353" s="132">
        <v>1</v>
      </c>
      <c r="K353" s="80">
        <v>12</v>
      </c>
      <c r="L353" s="80">
        <v>13</v>
      </c>
      <c r="M353" s="80">
        <f>L353*J353</f>
        <v>13</v>
      </c>
      <c r="N353" s="80" t="s">
        <v>180</v>
      </c>
      <c r="O353" s="75">
        <v>405398</v>
      </c>
      <c r="P353" s="47">
        <v>8.97</v>
      </c>
      <c r="Q353" s="47"/>
    </row>
    <row r="354" customHeight="1" spans="1:17">
      <c r="A354" s="73">
        <v>28857</v>
      </c>
      <c r="B354" s="68" t="s">
        <v>196</v>
      </c>
      <c r="C354" s="70" t="s">
        <v>179</v>
      </c>
      <c r="D354" s="68">
        <v>3</v>
      </c>
      <c r="E354" s="70" t="s">
        <v>39</v>
      </c>
      <c r="F354" s="74">
        <v>5.7</v>
      </c>
      <c r="G354" s="71">
        <f t="shared" si="34"/>
        <v>17.1</v>
      </c>
      <c r="H354" s="81"/>
      <c r="I354" s="81"/>
      <c r="J354" s="133"/>
      <c r="K354" s="81"/>
      <c r="L354" s="81"/>
      <c r="M354" s="81"/>
      <c r="N354" s="81"/>
      <c r="O354" s="75">
        <v>405398</v>
      </c>
      <c r="P354" s="47">
        <v>1.14</v>
      </c>
      <c r="Q354" s="47"/>
    </row>
    <row r="355" customHeight="1" spans="1:17">
      <c r="A355" s="73">
        <v>28808</v>
      </c>
      <c r="B355" s="73" t="s">
        <v>194</v>
      </c>
      <c r="C355" s="70" t="s">
        <v>179</v>
      </c>
      <c r="D355" s="68">
        <v>3</v>
      </c>
      <c r="E355" s="70" t="s">
        <v>39</v>
      </c>
      <c r="F355" s="74">
        <v>5.6</v>
      </c>
      <c r="G355" s="71">
        <f t="shared" si="34"/>
        <v>16.8</v>
      </c>
      <c r="H355" s="81"/>
      <c r="I355" s="81"/>
      <c r="J355" s="133"/>
      <c r="K355" s="81"/>
      <c r="L355" s="81"/>
      <c r="M355" s="81"/>
      <c r="N355" s="81"/>
      <c r="O355" s="75">
        <v>405398</v>
      </c>
      <c r="P355" s="47">
        <v>1.3956</v>
      </c>
      <c r="Q355" s="47"/>
    </row>
    <row r="356" customHeight="1" spans="1:17">
      <c r="A356" s="73">
        <v>28876</v>
      </c>
      <c r="B356" s="73" t="s">
        <v>217</v>
      </c>
      <c r="C356" s="70" t="s">
        <v>179</v>
      </c>
      <c r="D356" s="68">
        <v>1</v>
      </c>
      <c r="E356" s="70" t="s">
        <v>39</v>
      </c>
      <c r="F356" s="74">
        <v>5.75</v>
      </c>
      <c r="G356" s="71">
        <f t="shared" si="34"/>
        <v>5.75</v>
      </c>
      <c r="H356" s="79"/>
      <c r="I356" s="79"/>
      <c r="J356" s="134"/>
      <c r="K356" s="79"/>
      <c r="L356" s="79"/>
      <c r="M356" s="79"/>
      <c r="N356" s="79"/>
      <c r="O356" s="75">
        <v>405398</v>
      </c>
      <c r="P356" s="47">
        <v>0.48</v>
      </c>
      <c r="Q356" s="47"/>
    </row>
    <row r="357" customHeight="1" spans="1:17">
      <c r="A357" s="73">
        <v>28689</v>
      </c>
      <c r="B357" s="73">
        <v>595239</v>
      </c>
      <c r="C357" s="70" t="s">
        <v>179</v>
      </c>
      <c r="D357" s="68">
        <v>9</v>
      </c>
      <c r="E357" s="70" t="s">
        <v>39</v>
      </c>
      <c r="F357" s="74">
        <v>5.75</v>
      </c>
      <c r="G357" s="71">
        <f t="shared" si="34"/>
        <v>51.75</v>
      </c>
      <c r="H357" s="80">
        <v>115</v>
      </c>
      <c r="I357" s="80">
        <v>30</v>
      </c>
      <c r="J357" s="132">
        <v>1</v>
      </c>
      <c r="K357" s="80">
        <v>14.41</v>
      </c>
      <c r="L357" s="80">
        <v>15.41</v>
      </c>
      <c r="M357" s="80">
        <f t="shared" ref="M357:M362" si="37">L357*J357</f>
        <v>15.41</v>
      </c>
      <c r="N357" s="80" t="s">
        <v>180</v>
      </c>
      <c r="O357" s="75">
        <v>405398</v>
      </c>
      <c r="P357" s="47">
        <v>4.14</v>
      </c>
      <c r="Q357" s="47"/>
    </row>
    <row r="358" customHeight="1" spans="1:17">
      <c r="A358" s="73">
        <v>28648</v>
      </c>
      <c r="B358" s="68" t="s">
        <v>218</v>
      </c>
      <c r="C358" s="70" t="s">
        <v>179</v>
      </c>
      <c r="D358" s="68">
        <v>16</v>
      </c>
      <c r="E358" s="70" t="s">
        <v>39</v>
      </c>
      <c r="F358" s="74">
        <v>5.75</v>
      </c>
      <c r="G358" s="71">
        <f t="shared" ref="G358:G368" si="38">F358*D358</f>
        <v>92</v>
      </c>
      <c r="H358" s="81"/>
      <c r="I358" s="81"/>
      <c r="J358" s="133"/>
      <c r="K358" s="81"/>
      <c r="L358" s="81"/>
      <c r="M358" s="81"/>
      <c r="N358" s="81"/>
      <c r="O358" s="75">
        <v>405398</v>
      </c>
      <c r="P358" s="47">
        <v>7.52</v>
      </c>
      <c r="Q358" s="47"/>
    </row>
    <row r="359" customHeight="1" spans="1:17">
      <c r="A359" s="73">
        <v>28758</v>
      </c>
      <c r="B359" s="68" t="s">
        <v>219</v>
      </c>
      <c r="C359" s="70" t="s">
        <v>179</v>
      </c>
      <c r="D359" s="68">
        <v>5</v>
      </c>
      <c r="E359" s="70" t="s">
        <v>39</v>
      </c>
      <c r="F359" s="74">
        <v>5.75</v>
      </c>
      <c r="G359" s="71">
        <f t="shared" si="38"/>
        <v>28.75</v>
      </c>
      <c r="H359" s="79"/>
      <c r="I359" s="79"/>
      <c r="J359" s="134"/>
      <c r="K359" s="79"/>
      <c r="L359" s="79"/>
      <c r="M359" s="79"/>
      <c r="N359" s="79"/>
      <c r="O359" s="75">
        <v>405398</v>
      </c>
      <c r="P359" s="47">
        <v>2.75</v>
      </c>
      <c r="Q359" s="47"/>
    </row>
    <row r="360" customHeight="1" spans="1:17">
      <c r="A360" s="73">
        <v>28791</v>
      </c>
      <c r="B360" s="73">
        <v>39323</v>
      </c>
      <c r="C360" s="70" t="s">
        <v>179</v>
      </c>
      <c r="D360" s="68">
        <v>8</v>
      </c>
      <c r="E360" s="70" t="s">
        <v>39</v>
      </c>
      <c r="F360" s="74">
        <v>5.6</v>
      </c>
      <c r="G360" s="71">
        <f t="shared" si="38"/>
        <v>44.8</v>
      </c>
      <c r="H360" s="80">
        <v>115</v>
      </c>
      <c r="I360" s="80">
        <v>30</v>
      </c>
      <c r="J360" s="132">
        <v>1</v>
      </c>
      <c r="K360" s="80">
        <v>16.86</v>
      </c>
      <c r="L360" s="80">
        <v>17.86</v>
      </c>
      <c r="M360" s="80">
        <f t="shared" si="37"/>
        <v>17.86</v>
      </c>
      <c r="N360" s="80" t="s">
        <v>180</v>
      </c>
      <c r="O360" s="75">
        <v>405398</v>
      </c>
      <c r="P360" s="47">
        <v>3.776</v>
      </c>
      <c r="Q360" s="47"/>
    </row>
    <row r="361" customHeight="1" spans="1:17">
      <c r="A361" s="73">
        <v>28754</v>
      </c>
      <c r="B361" s="68" t="s">
        <v>220</v>
      </c>
      <c r="C361" s="70" t="s">
        <v>179</v>
      </c>
      <c r="D361" s="68">
        <v>22</v>
      </c>
      <c r="E361" s="70" t="s">
        <v>39</v>
      </c>
      <c r="F361" s="74">
        <v>5.75</v>
      </c>
      <c r="G361" s="71">
        <f t="shared" si="38"/>
        <v>126.5</v>
      </c>
      <c r="H361" s="79"/>
      <c r="I361" s="79"/>
      <c r="J361" s="134"/>
      <c r="K361" s="79"/>
      <c r="L361" s="79"/>
      <c r="M361" s="79"/>
      <c r="N361" s="79"/>
      <c r="O361" s="75">
        <v>405398</v>
      </c>
      <c r="P361" s="47">
        <v>13.0856</v>
      </c>
      <c r="Q361" s="47"/>
    </row>
    <row r="362" customHeight="1" spans="1:17">
      <c r="A362" s="73">
        <v>28742</v>
      </c>
      <c r="B362" s="68" t="s">
        <v>221</v>
      </c>
      <c r="C362" s="70" t="s">
        <v>179</v>
      </c>
      <c r="D362" s="68">
        <v>9</v>
      </c>
      <c r="E362" s="70" t="s">
        <v>39</v>
      </c>
      <c r="F362" s="74">
        <v>5.75</v>
      </c>
      <c r="G362" s="71">
        <f t="shared" si="38"/>
        <v>51.75</v>
      </c>
      <c r="H362" s="80">
        <v>115</v>
      </c>
      <c r="I362" s="80">
        <v>27</v>
      </c>
      <c r="J362" s="132">
        <v>1</v>
      </c>
      <c r="K362" s="80">
        <v>12.79</v>
      </c>
      <c r="L362" s="80">
        <v>13.79</v>
      </c>
      <c r="M362" s="80">
        <f t="shared" si="37"/>
        <v>13.79</v>
      </c>
      <c r="N362" s="80" t="s">
        <v>180</v>
      </c>
      <c r="O362" s="75">
        <v>405398</v>
      </c>
      <c r="P362" s="47">
        <v>4.32</v>
      </c>
      <c r="Q362" s="47"/>
    </row>
    <row r="363" customHeight="1" spans="1:17">
      <c r="A363" s="73">
        <v>28673</v>
      </c>
      <c r="B363" s="68" t="s">
        <v>222</v>
      </c>
      <c r="C363" s="70" t="s">
        <v>179</v>
      </c>
      <c r="D363" s="68">
        <v>13</v>
      </c>
      <c r="E363" s="70" t="s">
        <v>39</v>
      </c>
      <c r="F363" s="74">
        <v>5.75</v>
      </c>
      <c r="G363" s="71">
        <f t="shared" si="38"/>
        <v>74.75</v>
      </c>
      <c r="H363" s="81"/>
      <c r="I363" s="81"/>
      <c r="J363" s="133"/>
      <c r="K363" s="81"/>
      <c r="L363" s="81"/>
      <c r="M363" s="81"/>
      <c r="N363" s="81"/>
      <c r="O363" s="75">
        <v>405398</v>
      </c>
      <c r="P363" s="47">
        <v>5.72</v>
      </c>
      <c r="Q363" s="47"/>
    </row>
    <row r="364" customHeight="1" spans="1:17">
      <c r="A364" s="73">
        <v>28790</v>
      </c>
      <c r="B364" s="68" t="s">
        <v>223</v>
      </c>
      <c r="C364" s="70" t="s">
        <v>179</v>
      </c>
      <c r="D364" s="68">
        <v>5</v>
      </c>
      <c r="E364" s="70" t="s">
        <v>39</v>
      </c>
      <c r="F364" s="74">
        <v>5.75</v>
      </c>
      <c r="G364" s="71">
        <f t="shared" si="38"/>
        <v>28.75</v>
      </c>
      <c r="H364" s="79"/>
      <c r="I364" s="79"/>
      <c r="J364" s="134"/>
      <c r="K364" s="79"/>
      <c r="L364" s="79"/>
      <c r="M364" s="79"/>
      <c r="N364" s="79"/>
      <c r="O364" s="75">
        <v>405398</v>
      </c>
      <c r="P364" s="47">
        <v>2.75</v>
      </c>
      <c r="Q364" s="47"/>
    </row>
    <row r="365" customHeight="1" spans="1:17">
      <c r="A365" s="73">
        <v>28791</v>
      </c>
      <c r="B365" s="73">
        <v>39323</v>
      </c>
      <c r="C365" s="70" t="s">
        <v>179</v>
      </c>
      <c r="D365" s="68">
        <v>1</v>
      </c>
      <c r="E365" s="70" t="s">
        <v>39</v>
      </c>
      <c r="F365" s="74">
        <v>5.6</v>
      </c>
      <c r="G365" s="74">
        <f t="shared" si="38"/>
        <v>5.6</v>
      </c>
      <c r="H365" s="68">
        <v>115</v>
      </c>
      <c r="I365" s="68">
        <v>27</v>
      </c>
      <c r="J365" s="131">
        <v>1</v>
      </c>
      <c r="K365" s="68">
        <v>13.3</v>
      </c>
      <c r="L365" s="68">
        <v>14.3</v>
      </c>
      <c r="M365" s="68">
        <f>L365*J365</f>
        <v>14.3</v>
      </c>
      <c r="N365" s="68" t="s">
        <v>180</v>
      </c>
      <c r="O365" s="75">
        <v>405398</v>
      </c>
      <c r="P365" s="47">
        <v>0.472</v>
      </c>
      <c r="Q365" s="47"/>
    </row>
    <row r="366" customHeight="1" spans="1:17">
      <c r="A366" s="73">
        <v>28746</v>
      </c>
      <c r="B366" s="68" t="s">
        <v>224</v>
      </c>
      <c r="C366" s="70" t="s">
        <v>179</v>
      </c>
      <c r="D366" s="68">
        <v>10</v>
      </c>
      <c r="E366" s="70" t="s">
        <v>39</v>
      </c>
      <c r="F366" s="74">
        <v>5.75</v>
      </c>
      <c r="G366" s="74">
        <f t="shared" si="38"/>
        <v>57.5</v>
      </c>
      <c r="H366" s="68"/>
      <c r="I366" s="68"/>
      <c r="J366" s="131"/>
      <c r="K366" s="68"/>
      <c r="L366" s="68"/>
      <c r="M366" s="68"/>
      <c r="N366" s="68"/>
      <c r="O366" s="75">
        <v>405398</v>
      </c>
      <c r="P366" s="47">
        <v>3.96</v>
      </c>
      <c r="Q366" s="47"/>
    </row>
    <row r="367" customHeight="1" spans="1:17">
      <c r="A367" s="73">
        <v>28702</v>
      </c>
      <c r="B367" s="68" t="s">
        <v>186</v>
      </c>
      <c r="C367" s="70" t="s">
        <v>179</v>
      </c>
      <c r="D367" s="68">
        <v>3</v>
      </c>
      <c r="E367" s="70" t="s">
        <v>39</v>
      </c>
      <c r="F367" s="74">
        <v>5.6</v>
      </c>
      <c r="G367" s="74">
        <f t="shared" si="38"/>
        <v>16.8</v>
      </c>
      <c r="H367" s="68"/>
      <c r="I367" s="68"/>
      <c r="J367" s="131"/>
      <c r="K367" s="68"/>
      <c r="L367" s="68"/>
      <c r="M367" s="68"/>
      <c r="N367" s="68"/>
      <c r="O367" s="75">
        <v>405398</v>
      </c>
      <c r="P367" s="47">
        <v>1.68</v>
      </c>
      <c r="Q367" s="47"/>
    </row>
    <row r="368" customHeight="1" spans="1:17">
      <c r="A368" s="73">
        <v>28688</v>
      </c>
      <c r="B368" s="73">
        <v>197007</v>
      </c>
      <c r="C368" s="70" t="s">
        <v>179</v>
      </c>
      <c r="D368" s="68">
        <v>16</v>
      </c>
      <c r="E368" s="70" t="s">
        <v>39</v>
      </c>
      <c r="F368" s="74">
        <v>5.7</v>
      </c>
      <c r="G368" s="74">
        <f t="shared" si="38"/>
        <v>91.2</v>
      </c>
      <c r="H368" s="68"/>
      <c r="I368" s="68"/>
      <c r="J368" s="131"/>
      <c r="K368" s="68"/>
      <c r="L368" s="68"/>
      <c r="M368" s="68"/>
      <c r="N368" s="68"/>
      <c r="O368" s="75">
        <v>405398</v>
      </c>
      <c r="P368" s="47">
        <v>7.2</v>
      </c>
      <c r="Q368" s="47"/>
    </row>
    <row r="369" customHeight="1" spans="1:17">
      <c r="A369" s="68"/>
      <c r="B369" s="73"/>
      <c r="C369" s="68"/>
      <c r="D369" s="68"/>
      <c r="E369" s="135" t="s">
        <v>240</v>
      </c>
      <c r="F369" s="136"/>
      <c r="G369" s="136"/>
      <c r="H369" s="136"/>
      <c r="I369" s="136"/>
      <c r="J369" s="136"/>
      <c r="K369" s="136"/>
      <c r="L369" s="136"/>
      <c r="M369" s="137"/>
      <c r="N369" s="125"/>
    </row>
    <row r="370" customHeight="1" spans="1:17">
      <c r="A370" s="68"/>
      <c r="B370" s="73"/>
      <c r="C370" s="68"/>
      <c r="D370" s="68"/>
      <c r="E370" s="138"/>
      <c r="F370" s="139"/>
      <c r="G370" s="139"/>
      <c r="H370" s="139"/>
      <c r="I370" s="139"/>
      <c r="J370" s="139"/>
      <c r="K370" s="139"/>
      <c r="L370" s="139"/>
      <c r="M370" s="140"/>
      <c r="N370" s="125"/>
    </row>
    <row r="371" customHeight="1" spans="1:17">
      <c r="A371" s="68"/>
      <c r="B371" s="73"/>
      <c r="C371" s="68"/>
      <c r="D371" s="68">
        <f>SUM(D319:D370)</f>
        <v>2153</v>
      </c>
      <c r="E371" s="68"/>
      <c r="F371" s="74"/>
      <c r="G371" s="74">
        <f>SUM(G319:G370)</f>
        <v>12075.7</v>
      </c>
      <c r="H371" s="141"/>
      <c r="I371" s="125"/>
      <c r="J371" s="126">
        <f>SUM(J319:J370)</f>
        <v>72</v>
      </c>
      <c r="K371" s="128"/>
      <c r="L371" s="128"/>
      <c r="M371" s="128">
        <f>SUM(M319:M370)</f>
        <v>1173.82</v>
      </c>
      <c r="N371" s="125"/>
    </row>
    <row r="375" customHeight="1" spans="1:17">
      <c r="A375" s="100">
        <v>28603</v>
      </c>
      <c r="B375" s="68" t="s">
        <v>232</v>
      </c>
      <c r="C375" s="70" t="s">
        <v>179</v>
      </c>
      <c r="D375" s="68">
        <v>120</v>
      </c>
      <c r="E375" s="69" t="s">
        <v>39</v>
      </c>
      <c r="F375" s="105">
        <v>5.6</v>
      </c>
      <c r="G375" s="77">
        <f t="shared" ref="G375:G392" si="39">F375*D375</f>
        <v>672</v>
      </c>
      <c r="H375" s="111">
        <v>115</v>
      </c>
      <c r="I375" s="68">
        <v>30</v>
      </c>
      <c r="J375" s="131">
        <f>D375/I375</f>
        <v>4</v>
      </c>
      <c r="K375" s="68">
        <v>11.1</v>
      </c>
      <c r="L375" s="68">
        <v>12.3</v>
      </c>
      <c r="M375" s="68">
        <f>L375*J375</f>
        <v>49.2</v>
      </c>
      <c r="N375" s="68" t="s">
        <v>180</v>
      </c>
      <c r="O375" s="75">
        <v>405398</v>
      </c>
      <c r="P375" s="47"/>
      <c r="Q375" s="47"/>
    </row>
    <row r="376" customHeight="1" spans="1:17">
      <c r="A376" s="100">
        <v>28773</v>
      </c>
      <c r="B376" s="68" t="s">
        <v>235</v>
      </c>
      <c r="C376" s="70" t="s">
        <v>179</v>
      </c>
      <c r="D376" s="68">
        <v>480</v>
      </c>
      <c r="E376" s="69" t="s">
        <v>39</v>
      </c>
      <c r="F376" s="105">
        <v>5.6</v>
      </c>
      <c r="G376" s="77">
        <f t="shared" si="39"/>
        <v>2688</v>
      </c>
      <c r="H376" s="111">
        <v>115</v>
      </c>
      <c r="I376" s="68">
        <v>30</v>
      </c>
      <c r="J376" s="131">
        <f>D376/I376</f>
        <v>16</v>
      </c>
      <c r="K376" s="68">
        <v>16.2</v>
      </c>
      <c r="L376" s="68">
        <v>17.4</v>
      </c>
      <c r="M376" s="68">
        <f>L376*J376</f>
        <v>278.4</v>
      </c>
      <c r="N376" s="68" t="s">
        <v>180</v>
      </c>
      <c r="O376" s="75">
        <v>405398</v>
      </c>
      <c r="P376" s="47"/>
      <c r="Q376" s="47"/>
    </row>
    <row r="377" customHeight="1" spans="1:17">
      <c r="A377" s="100">
        <v>28841</v>
      </c>
      <c r="B377" s="68" t="s">
        <v>236</v>
      </c>
      <c r="C377" s="70" t="s">
        <v>179</v>
      </c>
      <c r="D377" s="68">
        <v>90</v>
      </c>
      <c r="E377" s="69" t="s">
        <v>39</v>
      </c>
      <c r="F377" s="105">
        <v>5.75</v>
      </c>
      <c r="G377" s="77">
        <f t="shared" si="39"/>
        <v>517.5</v>
      </c>
      <c r="H377" s="111">
        <v>115</v>
      </c>
      <c r="I377" s="68">
        <v>30</v>
      </c>
      <c r="J377" s="131">
        <f>D377/I377</f>
        <v>3</v>
      </c>
      <c r="K377" s="68">
        <v>12.3</v>
      </c>
      <c r="L377" s="68">
        <v>13.5</v>
      </c>
      <c r="M377" s="68">
        <f>L377*J377</f>
        <v>40.5</v>
      </c>
      <c r="N377" s="68" t="s">
        <v>180</v>
      </c>
      <c r="O377" s="75">
        <v>405398</v>
      </c>
      <c r="P377" s="47"/>
      <c r="Q377" s="47"/>
    </row>
    <row r="378" customHeight="1" spans="1:17">
      <c r="A378" s="100">
        <v>28969</v>
      </c>
      <c r="B378" s="68" t="s">
        <v>237</v>
      </c>
      <c r="C378" s="70" t="s">
        <v>179</v>
      </c>
      <c r="D378" s="68">
        <v>180</v>
      </c>
      <c r="E378" s="69" t="s">
        <v>39</v>
      </c>
      <c r="F378" s="105">
        <v>5.65</v>
      </c>
      <c r="G378" s="77">
        <f t="shared" si="39"/>
        <v>1017</v>
      </c>
      <c r="H378" s="111">
        <v>115</v>
      </c>
      <c r="I378" s="68">
        <v>30</v>
      </c>
      <c r="J378" s="131">
        <f>D378/I378</f>
        <v>6</v>
      </c>
      <c r="K378" s="68">
        <v>18.9</v>
      </c>
      <c r="L378" s="68">
        <v>20.1</v>
      </c>
      <c r="M378" s="68">
        <f>L378*J378</f>
        <v>120.6</v>
      </c>
      <c r="N378" s="68" t="s">
        <v>180</v>
      </c>
      <c r="O378" s="75">
        <v>405398</v>
      </c>
      <c r="P378" s="47"/>
      <c r="Q378" s="47"/>
    </row>
    <row r="379" customHeight="1" spans="1:17">
      <c r="A379" s="100">
        <v>28773</v>
      </c>
      <c r="B379" s="68" t="s">
        <v>235</v>
      </c>
      <c r="C379" s="70" t="s">
        <v>179</v>
      </c>
      <c r="D379" s="68">
        <v>14</v>
      </c>
      <c r="E379" s="69" t="s">
        <v>39</v>
      </c>
      <c r="F379" s="105">
        <v>5.6</v>
      </c>
      <c r="G379" s="77">
        <f t="shared" si="39"/>
        <v>78.4</v>
      </c>
      <c r="H379" s="112">
        <v>115</v>
      </c>
      <c r="I379" s="80">
        <v>27</v>
      </c>
      <c r="J379" s="132">
        <v>1</v>
      </c>
      <c r="K379" s="80">
        <v>15.75</v>
      </c>
      <c r="L379" s="80">
        <v>16.75</v>
      </c>
      <c r="M379" s="80">
        <f>L379*J379</f>
        <v>16.75</v>
      </c>
      <c r="N379" s="80" t="s">
        <v>180</v>
      </c>
      <c r="O379" s="75">
        <v>405398</v>
      </c>
      <c r="P379" s="47">
        <v>7.56</v>
      </c>
      <c r="Q379" s="47"/>
    </row>
    <row r="380" customHeight="1" spans="1:17">
      <c r="A380" s="100">
        <v>28969</v>
      </c>
      <c r="B380" s="68" t="s">
        <v>237</v>
      </c>
      <c r="C380" s="70" t="s">
        <v>179</v>
      </c>
      <c r="D380" s="68">
        <v>13</v>
      </c>
      <c r="E380" s="69" t="s">
        <v>39</v>
      </c>
      <c r="F380" s="105">
        <v>5.65</v>
      </c>
      <c r="G380" s="77">
        <f t="shared" si="39"/>
        <v>73.45</v>
      </c>
      <c r="H380" s="78"/>
      <c r="I380" s="79"/>
      <c r="J380" s="134"/>
      <c r="K380" s="79"/>
      <c r="L380" s="79"/>
      <c r="M380" s="79"/>
      <c r="N380" s="79"/>
      <c r="O380" s="75">
        <v>405398</v>
      </c>
      <c r="P380" s="47">
        <v>8.19</v>
      </c>
      <c r="Q380" s="47"/>
    </row>
    <row r="381" customHeight="1" spans="1:17">
      <c r="A381" s="67">
        <v>28581</v>
      </c>
      <c r="B381" s="68" t="s">
        <v>178</v>
      </c>
      <c r="C381" s="70" t="s">
        <v>179</v>
      </c>
      <c r="D381" s="68">
        <v>390</v>
      </c>
      <c r="E381" s="69" t="s">
        <v>39</v>
      </c>
      <c r="F381" s="71">
        <v>5.6</v>
      </c>
      <c r="G381" s="74">
        <f t="shared" si="39"/>
        <v>2184</v>
      </c>
      <c r="H381" s="78">
        <v>115</v>
      </c>
      <c r="I381" s="79">
        <v>30</v>
      </c>
      <c r="J381" s="131">
        <f t="shared" ref="J381:J392" si="40">D381/I381</f>
        <v>13</v>
      </c>
      <c r="K381" s="79">
        <v>13.5</v>
      </c>
      <c r="L381" s="79">
        <v>14.7</v>
      </c>
      <c r="M381" s="68">
        <f t="shared" ref="M381:M392" si="41">L381*J381</f>
        <v>191.1</v>
      </c>
      <c r="N381" s="79" t="s">
        <v>180</v>
      </c>
      <c r="O381" s="75">
        <v>405398</v>
      </c>
      <c r="P381" s="47"/>
      <c r="Q381" s="47"/>
    </row>
    <row r="382" customHeight="1" spans="1:17">
      <c r="A382" s="67">
        <v>28583</v>
      </c>
      <c r="B382" s="68" t="s">
        <v>181</v>
      </c>
      <c r="C382" s="70" t="s">
        <v>179</v>
      </c>
      <c r="D382" s="68">
        <v>300</v>
      </c>
      <c r="E382" s="69" t="s">
        <v>39</v>
      </c>
      <c r="F382" s="71">
        <v>5.6</v>
      </c>
      <c r="G382" s="74">
        <f t="shared" si="39"/>
        <v>1680</v>
      </c>
      <c r="H382" s="78">
        <v>115</v>
      </c>
      <c r="I382" s="79">
        <v>30</v>
      </c>
      <c r="J382" s="131">
        <f t="shared" si="40"/>
        <v>10</v>
      </c>
      <c r="K382" s="79">
        <v>14.7</v>
      </c>
      <c r="L382" s="79">
        <v>15.9</v>
      </c>
      <c r="M382" s="68">
        <f t="shared" si="41"/>
        <v>159</v>
      </c>
      <c r="N382" s="79" t="s">
        <v>180</v>
      </c>
      <c r="O382" s="75">
        <v>405398</v>
      </c>
      <c r="P382" s="47"/>
      <c r="Q382" s="47"/>
    </row>
    <row r="383" customHeight="1" spans="1:17">
      <c r="A383" s="67">
        <v>28588</v>
      </c>
      <c r="B383" s="68" t="s">
        <v>182</v>
      </c>
      <c r="C383" s="70" t="s">
        <v>179</v>
      </c>
      <c r="D383" s="68">
        <v>30</v>
      </c>
      <c r="E383" s="69" t="s">
        <v>39</v>
      </c>
      <c r="F383" s="76">
        <v>5.45</v>
      </c>
      <c r="G383" s="77">
        <f t="shared" si="39"/>
        <v>163.5</v>
      </c>
      <c r="H383" s="78">
        <v>115</v>
      </c>
      <c r="I383" s="79">
        <v>30</v>
      </c>
      <c r="J383" s="131">
        <f t="shared" si="40"/>
        <v>1</v>
      </c>
      <c r="K383" s="79">
        <v>16.2</v>
      </c>
      <c r="L383" s="79">
        <v>17.2</v>
      </c>
      <c r="M383" s="68">
        <f t="shared" si="41"/>
        <v>17.2</v>
      </c>
      <c r="N383" s="79" t="s">
        <v>180</v>
      </c>
      <c r="O383" s="23">
        <v>420867</v>
      </c>
      <c r="P383" s="47"/>
      <c r="Q383" s="47"/>
    </row>
    <row r="384" customHeight="1" spans="1:17">
      <c r="A384" s="73">
        <v>28588</v>
      </c>
      <c r="B384" s="68" t="s">
        <v>182</v>
      </c>
      <c r="C384" s="70" t="s">
        <v>179</v>
      </c>
      <c r="D384" s="68">
        <v>180</v>
      </c>
      <c r="E384" s="70" t="s">
        <v>39</v>
      </c>
      <c r="F384" s="74">
        <v>5.65</v>
      </c>
      <c r="G384" s="71">
        <f t="shared" si="39"/>
        <v>1017</v>
      </c>
      <c r="H384" s="68">
        <v>115</v>
      </c>
      <c r="I384" s="68">
        <v>30</v>
      </c>
      <c r="J384" s="131">
        <f t="shared" si="40"/>
        <v>6</v>
      </c>
      <c r="K384" s="68">
        <v>16.2</v>
      </c>
      <c r="L384" s="68">
        <v>17.4</v>
      </c>
      <c r="M384" s="68">
        <f t="shared" si="41"/>
        <v>104.4</v>
      </c>
      <c r="N384" s="68" t="s">
        <v>180</v>
      </c>
      <c r="O384" s="75">
        <v>405398</v>
      </c>
      <c r="P384" s="47"/>
      <c r="Q384" s="47"/>
    </row>
    <row r="385" customHeight="1" spans="1:17">
      <c r="A385" s="73">
        <v>28602</v>
      </c>
      <c r="B385" s="73">
        <v>391009</v>
      </c>
      <c r="C385" s="70" t="s">
        <v>179</v>
      </c>
      <c r="D385" s="68">
        <v>60</v>
      </c>
      <c r="E385" s="70" t="s">
        <v>39</v>
      </c>
      <c r="F385" s="74">
        <v>5.6</v>
      </c>
      <c r="G385" s="71">
        <f t="shared" si="39"/>
        <v>336</v>
      </c>
      <c r="H385" s="68">
        <v>115</v>
      </c>
      <c r="I385" s="68">
        <v>30</v>
      </c>
      <c r="J385" s="131">
        <f t="shared" si="40"/>
        <v>2</v>
      </c>
      <c r="K385" s="68">
        <v>14.4</v>
      </c>
      <c r="L385" s="68">
        <v>15.6</v>
      </c>
      <c r="M385" s="68">
        <f t="shared" si="41"/>
        <v>31.2</v>
      </c>
      <c r="N385" s="68" t="s">
        <v>180</v>
      </c>
      <c r="O385" s="75">
        <v>405398</v>
      </c>
      <c r="P385" s="47"/>
      <c r="Q385" s="47"/>
    </row>
    <row r="386" customHeight="1" spans="1:17">
      <c r="A386" s="73">
        <v>28612</v>
      </c>
      <c r="B386" s="73">
        <v>39339</v>
      </c>
      <c r="C386" s="70" t="s">
        <v>179</v>
      </c>
      <c r="D386" s="68">
        <v>30</v>
      </c>
      <c r="E386" s="70" t="s">
        <v>39</v>
      </c>
      <c r="F386" s="74">
        <v>5.75</v>
      </c>
      <c r="G386" s="71">
        <f t="shared" si="39"/>
        <v>172.5</v>
      </c>
      <c r="H386" s="68">
        <v>115</v>
      </c>
      <c r="I386" s="68">
        <v>30</v>
      </c>
      <c r="J386" s="131">
        <f t="shared" si="40"/>
        <v>1</v>
      </c>
      <c r="K386" s="68">
        <v>11.1</v>
      </c>
      <c r="L386" s="68">
        <v>12.3</v>
      </c>
      <c r="M386" s="68">
        <f t="shared" si="41"/>
        <v>12.3</v>
      </c>
      <c r="N386" s="68" t="s">
        <v>180</v>
      </c>
      <c r="O386" s="75">
        <v>405398</v>
      </c>
      <c r="P386" s="47"/>
      <c r="Q386" s="47"/>
    </row>
    <row r="387" customHeight="1" spans="1:17">
      <c r="A387" s="73">
        <v>28619</v>
      </c>
      <c r="B387" s="68" t="s">
        <v>183</v>
      </c>
      <c r="C387" s="70" t="s">
        <v>179</v>
      </c>
      <c r="D387" s="68">
        <v>30</v>
      </c>
      <c r="E387" s="70" t="s">
        <v>39</v>
      </c>
      <c r="F387" s="74">
        <v>5.65</v>
      </c>
      <c r="G387" s="71">
        <f t="shared" si="39"/>
        <v>169.5</v>
      </c>
      <c r="H387" s="68">
        <v>115</v>
      </c>
      <c r="I387" s="68">
        <v>30</v>
      </c>
      <c r="J387" s="131">
        <f t="shared" si="40"/>
        <v>1</v>
      </c>
      <c r="K387" s="68">
        <v>11.58</v>
      </c>
      <c r="L387" s="68">
        <v>12.78</v>
      </c>
      <c r="M387" s="68">
        <f t="shared" si="41"/>
        <v>12.78</v>
      </c>
      <c r="N387" s="68" t="s">
        <v>180</v>
      </c>
      <c r="O387" s="75">
        <v>405398</v>
      </c>
      <c r="P387" s="47"/>
      <c r="Q387" s="47"/>
    </row>
    <row r="388" customHeight="1" spans="1:17">
      <c r="A388" s="73">
        <v>28621</v>
      </c>
      <c r="B388" s="68" t="s">
        <v>184</v>
      </c>
      <c r="C388" s="70" t="s">
        <v>179</v>
      </c>
      <c r="D388" s="68">
        <v>60</v>
      </c>
      <c r="E388" s="70" t="s">
        <v>39</v>
      </c>
      <c r="F388" s="74">
        <v>5.7</v>
      </c>
      <c r="G388" s="71">
        <f t="shared" si="39"/>
        <v>342</v>
      </c>
      <c r="H388" s="68">
        <v>115</v>
      </c>
      <c r="I388" s="68">
        <v>30</v>
      </c>
      <c r="J388" s="131">
        <f t="shared" si="40"/>
        <v>2</v>
      </c>
      <c r="K388" s="68">
        <v>14.7</v>
      </c>
      <c r="L388" s="68">
        <v>15.9</v>
      </c>
      <c r="M388" s="68">
        <f t="shared" si="41"/>
        <v>31.8</v>
      </c>
      <c r="N388" s="68" t="s">
        <v>180</v>
      </c>
      <c r="O388" s="75">
        <v>405398</v>
      </c>
      <c r="P388" s="47"/>
      <c r="Q388" s="47"/>
    </row>
    <row r="389" customHeight="1" spans="1:17">
      <c r="A389" s="73">
        <v>28653</v>
      </c>
      <c r="B389" s="73" t="s">
        <v>185</v>
      </c>
      <c r="C389" s="70" t="s">
        <v>179</v>
      </c>
      <c r="D389" s="68">
        <v>90</v>
      </c>
      <c r="E389" s="70" t="s">
        <v>39</v>
      </c>
      <c r="F389" s="74">
        <v>5.6</v>
      </c>
      <c r="G389" s="71">
        <f t="shared" si="39"/>
        <v>504</v>
      </c>
      <c r="H389" s="68">
        <v>115</v>
      </c>
      <c r="I389" s="68">
        <v>30</v>
      </c>
      <c r="J389" s="131">
        <f t="shared" si="40"/>
        <v>3</v>
      </c>
      <c r="K389" s="68">
        <v>14.76</v>
      </c>
      <c r="L389" s="68">
        <v>15.96</v>
      </c>
      <c r="M389" s="68">
        <f t="shared" si="41"/>
        <v>47.88</v>
      </c>
      <c r="N389" s="68" t="s">
        <v>180</v>
      </c>
      <c r="O389" s="75">
        <v>405398</v>
      </c>
      <c r="P389" s="47"/>
      <c r="Q389" s="47"/>
    </row>
    <row r="390" customHeight="1" spans="1:17">
      <c r="A390" s="73">
        <v>28688</v>
      </c>
      <c r="B390" s="73">
        <v>197007</v>
      </c>
      <c r="C390" s="70" t="s">
        <v>179</v>
      </c>
      <c r="D390" s="68">
        <v>30</v>
      </c>
      <c r="E390" s="70" t="s">
        <v>39</v>
      </c>
      <c r="F390" s="74">
        <v>5.7</v>
      </c>
      <c r="G390" s="74">
        <f t="shared" si="39"/>
        <v>171</v>
      </c>
      <c r="H390" s="68">
        <v>115</v>
      </c>
      <c r="I390" s="68">
        <v>30</v>
      </c>
      <c r="J390" s="131">
        <f t="shared" si="40"/>
        <v>1</v>
      </c>
      <c r="K390" s="68">
        <v>13.5</v>
      </c>
      <c r="L390" s="68">
        <v>14.7</v>
      </c>
      <c r="M390" s="68">
        <f t="shared" si="41"/>
        <v>14.7</v>
      </c>
      <c r="N390" s="68" t="s">
        <v>180</v>
      </c>
      <c r="O390" s="75">
        <v>405398</v>
      </c>
      <c r="P390" s="47"/>
      <c r="Q390" s="47"/>
    </row>
    <row r="391" customHeight="1" spans="1:17">
      <c r="A391" s="73">
        <v>28702</v>
      </c>
      <c r="B391" s="68" t="s">
        <v>186</v>
      </c>
      <c r="C391" s="70" t="s">
        <v>179</v>
      </c>
      <c r="D391" s="68">
        <v>30</v>
      </c>
      <c r="E391" s="70" t="s">
        <v>39</v>
      </c>
      <c r="F391" s="74">
        <v>5.6</v>
      </c>
      <c r="G391" s="74">
        <f t="shared" si="39"/>
        <v>168</v>
      </c>
      <c r="H391" s="68">
        <v>115</v>
      </c>
      <c r="I391" s="68">
        <v>30</v>
      </c>
      <c r="J391" s="131">
        <f t="shared" si="40"/>
        <v>1</v>
      </c>
      <c r="K391" s="68">
        <v>16.8</v>
      </c>
      <c r="L391" s="68">
        <v>18</v>
      </c>
      <c r="M391" s="68">
        <f t="shared" si="41"/>
        <v>18</v>
      </c>
      <c r="N391" s="68" t="s">
        <v>180</v>
      </c>
      <c r="O391" s="75">
        <v>405398</v>
      </c>
      <c r="P391" s="47"/>
      <c r="Q391" s="47"/>
    </row>
    <row r="392" customHeight="1" spans="1:17">
      <c r="A392" s="73">
        <v>28753</v>
      </c>
      <c r="B392" s="73">
        <v>593920</v>
      </c>
      <c r="C392" s="70" t="s">
        <v>179</v>
      </c>
      <c r="D392" s="68">
        <v>30</v>
      </c>
      <c r="E392" s="70" t="s">
        <v>39</v>
      </c>
      <c r="F392" s="74">
        <v>5.7</v>
      </c>
      <c r="G392" s="74">
        <f t="shared" si="39"/>
        <v>171</v>
      </c>
      <c r="H392" s="68">
        <v>115</v>
      </c>
      <c r="I392" s="68">
        <v>30</v>
      </c>
      <c r="J392" s="131">
        <f t="shared" si="40"/>
        <v>1</v>
      </c>
      <c r="K392" s="68">
        <v>18</v>
      </c>
      <c r="L392" s="68">
        <v>19.2</v>
      </c>
      <c r="M392" s="68">
        <f t="shared" si="41"/>
        <v>19.2</v>
      </c>
      <c r="N392" s="68" t="s">
        <v>180</v>
      </c>
      <c r="O392" s="75">
        <v>405398</v>
      </c>
      <c r="P392" s="47"/>
      <c r="Q392" s="47"/>
    </row>
    <row r="393" customHeight="1" spans="1:17">
      <c r="A393" s="68"/>
      <c r="B393" s="73"/>
      <c r="C393" s="68"/>
      <c r="D393" s="68"/>
      <c r="E393" s="135" t="s">
        <v>241</v>
      </c>
      <c r="F393" s="136"/>
      <c r="G393" s="136"/>
      <c r="H393" s="136"/>
      <c r="I393" s="136"/>
      <c r="J393" s="136"/>
      <c r="K393" s="136"/>
      <c r="L393" s="136"/>
      <c r="M393" s="137"/>
      <c r="N393" s="125"/>
    </row>
    <row r="394" customHeight="1" spans="1:17">
      <c r="A394" s="68"/>
      <c r="B394" s="73"/>
      <c r="C394" s="68"/>
      <c r="D394" s="68"/>
      <c r="E394" s="138"/>
      <c r="F394" s="139"/>
      <c r="G394" s="139"/>
      <c r="H394" s="139"/>
      <c r="I394" s="139"/>
      <c r="J394" s="139"/>
      <c r="K394" s="139"/>
      <c r="L394" s="139"/>
      <c r="M394" s="140"/>
      <c r="N394" s="125"/>
    </row>
    <row r="395" customHeight="1" spans="1:17">
      <c r="A395" s="68"/>
      <c r="B395" s="73"/>
      <c r="C395" s="68"/>
      <c r="D395" s="68">
        <f>SUM(D375:D394)</f>
        <v>2157</v>
      </c>
      <c r="E395" s="68"/>
      <c r="F395" s="74"/>
      <c r="G395" s="74">
        <f>SUM(G375:G394)</f>
        <v>12124.85</v>
      </c>
      <c r="H395" s="141"/>
      <c r="I395" s="125"/>
      <c r="J395" s="126">
        <f>SUM(J375:J394)</f>
        <v>72</v>
      </c>
      <c r="K395" s="128"/>
      <c r="L395" s="128"/>
      <c r="M395" s="128">
        <f>SUM(M375:M394)</f>
        <v>1165.01</v>
      </c>
      <c r="N395" s="125"/>
    </row>
    <row r="399" customHeight="1" spans="1:17">
      <c r="A399" s="67">
        <v>7223</v>
      </c>
      <c r="B399" s="68" t="s">
        <v>46</v>
      </c>
      <c r="C399" s="69" t="s">
        <v>47</v>
      </c>
      <c r="D399" s="68">
        <v>100</v>
      </c>
      <c r="E399" s="69" t="s">
        <v>39</v>
      </c>
      <c r="F399" s="76">
        <v>0.91</v>
      </c>
      <c r="G399" s="77">
        <f t="shared" ref="G399:G436" si="42">F399*D399</f>
        <v>91</v>
      </c>
      <c r="H399" s="68" t="s">
        <v>48</v>
      </c>
      <c r="I399" s="68">
        <v>100</v>
      </c>
      <c r="J399" s="131">
        <f t="shared" ref="J399:J405" si="43">D399/I399</f>
        <v>1</v>
      </c>
      <c r="K399" s="68">
        <v>11.5</v>
      </c>
      <c r="L399" s="68">
        <v>12.8</v>
      </c>
      <c r="M399" s="68">
        <f t="shared" ref="M399:M406" si="44">L399*J399</f>
        <v>12.8</v>
      </c>
      <c r="N399" s="68" t="s">
        <v>49</v>
      </c>
      <c r="O399" s="23">
        <v>420867</v>
      </c>
      <c r="P399" s="47"/>
      <c r="Q399" s="47"/>
    </row>
    <row r="400" customHeight="1" spans="1:17">
      <c r="A400" s="67">
        <v>8138</v>
      </c>
      <c r="B400" s="68" t="s">
        <v>50</v>
      </c>
      <c r="C400" s="70" t="s">
        <v>47</v>
      </c>
      <c r="D400" s="68">
        <v>100</v>
      </c>
      <c r="E400" s="70" t="s">
        <v>39</v>
      </c>
      <c r="F400" s="71">
        <v>1.01</v>
      </c>
      <c r="G400" s="74">
        <f t="shared" si="42"/>
        <v>101</v>
      </c>
      <c r="H400" s="68" t="s">
        <v>48</v>
      </c>
      <c r="I400" s="68">
        <v>100</v>
      </c>
      <c r="J400" s="131">
        <f t="shared" si="43"/>
        <v>1</v>
      </c>
      <c r="K400" s="68">
        <v>12</v>
      </c>
      <c r="L400" s="68">
        <v>13.3</v>
      </c>
      <c r="M400" s="68">
        <f t="shared" si="44"/>
        <v>13.3</v>
      </c>
      <c r="N400" s="68" t="s">
        <v>49</v>
      </c>
      <c r="O400" s="75">
        <v>405398</v>
      </c>
      <c r="P400" s="72"/>
      <c r="Q400" s="72"/>
    </row>
    <row r="401" customHeight="1" spans="1:17">
      <c r="A401" s="67">
        <v>8463</v>
      </c>
      <c r="B401" s="68" t="s">
        <v>51</v>
      </c>
      <c r="C401" s="70" t="s">
        <v>47</v>
      </c>
      <c r="D401" s="68">
        <v>200</v>
      </c>
      <c r="E401" s="70" t="s">
        <v>39</v>
      </c>
      <c r="F401" s="71">
        <v>0.78</v>
      </c>
      <c r="G401" s="71">
        <f t="shared" si="42"/>
        <v>156</v>
      </c>
      <c r="H401" s="68" t="s">
        <v>52</v>
      </c>
      <c r="I401" s="68">
        <v>200</v>
      </c>
      <c r="J401" s="131">
        <f t="shared" si="43"/>
        <v>1</v>
      </c>
      <c r="K401" s="68">
        <v>12</v>
      </c>
      <c r="L401" s="68">
        <v>13</v>
      </c>
      <c r="M401" s="68">
        <f t="shared" si="44"/>
        <v>13</v>
      </c>
      <c r="N401" s="68" t="s">
        <v>49</v>
      </c>
      <c r="O401" s="75">
        <v>405398</v>
      </c>
      <c r="P401" s="72"/>
      <c r="Q401" s="72"/>
    </row>
    <row r="402" customHeight="1" spans="1:17">
      <c r="A402" s="67">
        <v>8724</v>
      </c>
      <c r="B402" s="68" t="s">
        <v>53</v>
      </c>
      <c r="C402" s="70" t="s">
        <v>47</v>
      </c>
      <c r="D402" s="68">
        <v>400</v>
      </c>
      <c r="E402" s="70" t="s">
        <v>39</v>
      </c>
      <c r="F402" s="71">
        <v>0.82</v>
      </c>
      <c r="G402" s="71">
        <f t="shared" si="42"/>
        <v>328</v>
      </c>
      <c r="H402" s="68" t="s">
        <v>52</v>
      </c>
      <c r="I402" s="68">
        <v>200</v>
      </c>
      <c r="J402" s="131">
        <f t="shared" si="43"/>
        <v>2</v>
      </c>
      <c r="K402" s="68">
        <v>21.3</v>
      </c>
      <c r="L402" s="68">
        <v>22.6</v>
      </c>
      <c r="M402" s="68">
        <f t="shared" si="44"/>
        <v>45.2</v>
      </c>
      <c r="N402" s="68" t="s">
        <v>49</v>
      </c>
      <c r="O402" s="75">
        <v>405398</v>
      </c>
      <c r="P402" s="72"/>
      <c r="Q402" s="72"/>
    </row>
    <row r="403" customHeight="1" spans="1:17">
      <c r="A403" s="67">
        <v>8306</v>
      </c>
      <c r="B403" s="68" t="s">
        <v>54</v>
      </c>
      <c r="C403" s="70" t="s">
        <v>47</v>
      </c>
      <c r="D403" s="68">
        <v>1200</v>
      </c>
      <c r="E403" s="70" t="s">
        <v>39</v>
      </c>
      <c r="F403" s="71">
        <v>0.7</v>
      </c>
      <c r="G403" s="71">
        <f t="shared" si="42"/>
        <v>840</v>
      </c>
      <c r="H403" s="68" t="s">
        <v>52</v>
      </c>
      <c r="I403" s="68">
        <v>200</v>
      </c>
      <c r="J403" s="131">
        <f t="shared" si="43"/>
        <v>6</v>
      </c>
      <c r="K403" s="68">
        <v>21.3</v>
      </c>
      <c r="L403" s="68">
        <v>22.6</v>
      </c>
      <c r="M403" s="68">
        <f t="shared" si="44"/>
        <v>135.6</v>
      </c>
      <c r="N403" s="68" t="s">
        <v>49</v>
      </c>
      <c r="O403" s="75">
        <v>405398</v>
      </c>
      <c r="P403" s="72"/>
      <c r="Q403" s="72"/>
    </row>
    <row r="404" customHeight="1" spans="1:17">
      <c r="A404" s="67">
        <v>8423</v>
      </c>
      <c r="B404" s="68" t="s">
        <v>55</v>
      </c>
      <c r="C404" s="70" t="s">
        <v>47</v>
      </c>
      <c r="D404" s="68">
        <v>1200</v>
      </c>
      <c r="E404" s="70" t="s">
        <v>39</v>
      </c>
      <c r="F404" s="71">
        <v>0.73</v>
      </c>
      <c r="G404" s="71">
        <f t="shared" si="42"/>
        <v>876</v>
      </c>
      <c r="H404" s="68" t="s">
        <v>52</v>
      </c>
      <c r="I404" s="68">
        <v>200</v>
      </c>
      <c r="J404" s="131">
        <f t="shared" si="43"/>
        <v>6</v>
      </c>
      <c r="K404" s="68">
        <v>12.9</v>
      </c>
      <c r="L404" s="68">
        <v>14.2</v>
      </c>
      <c r="M404" s="68">
        <f t="shared" si="44"/>
        <v>85.2</v>
      </c>
      <c r="N404" s="68" t="s">
        <v>49</v>
      </c>
      <c r="O404" s="75">
        <v>405398</v>
      </c>
      <c r="P404" s="72"/>
      <c r="Q404" s="72"/>
    </row>
    <row r="405" customHeight="1" spans="1:17">
      <c r="A405" s="67">
        <v>8433</v>
      </c>
      <c r="B405" s="68" t="s">
        <v>56</v>
      </c>
      <c r="C405" s="70" t="s">
        <v>47</v>
      </c>
      <c r="D405" s="68">
        <v>700</v>
      </c>
      <c r="E405" s="70" t="s">
        <v>39</v>
      </c>
      <c r="F405" s="71">
        <v>0.8</v>
      </c>
      <c r="G405" s="71">
        <f t="shared" si="42"/>
        <v>560</v>
      </c>
      <c r="H405" s="68" t="s">
        <v>48</v>
      </c>
      <c r="I405" s="68">
        <v>100</v>
      </c>
      <c r="J405" s="131">
        <f t="shared" si="43"/>
        <v>7</v>
      </c>
      <c r="K405" s="68">
        <v>10.5</v>
      </c>
      <c r="L405" s="68">
        <v>11.5</v>
      </c>
      <c r="M405" s="68">
        <f t="shared" si="44"/>
        <v>80.5</v>
      </c>
      <c r="N405" s="68" t="s">
        <v>49</v>
      </c>
      <c r="O405" s="75">
        <v>405398</v>
      </c>
      <c r="P405" s="72"/>
      <c r="Q405" s="72"/>
    </row>
    <row r="406" customHeight="1" spans="1:17">
      <c r="A406" s="67">
        <v>8306</v>
      </c>
      <c r="B406" s="68" t="s">
        <v>54</v>
      </c>
      <c r="C406" s="70" t="s">
        <v>47</v>
      </c>
      <c r="D406" s="68">
        <v>3</v>
      </c>
      <c r="E406" s="70" t="s">
        <v>39</v>
      </c>
      <c r="F406" s="71">
        <v>0.7</v>
      </c>
      <c r="G406" s="71">
        <f t="shared" si="42"/>
        <v>2.1</v>
      </c>
      <c r="H406" s="68" t="s">
        <v>57</v>
      </c>
      <c r="I406" s="80">
        <v>126</v>
      </c>
      <c r="J406" s="132">
        <v>1</v>
      </c>
      <c r="K406" s="80">
        <v>12.89</v>
      </c>
      <c r="L406" s="80">
        <v>13.89</v>
      </c>
      <c r="M406" s="80">
        <f t="shared" si="44"/>
        <v>13.89</v>
      </c>
      <c r="N406" s="80" t="s">
        <v>49</v>
      </c>
      <c r="O406" s="75">
        <v>405398</v>
      </c>
      <c r="P406" s="72">
        <v>1</v>
      </c>
      <c r="Q406" s="72">
        <v>0.32</v>
      </c>
    </row>
    <row r="407" customHeight="1" spans="1:17">
      <c r="A407" s="67">
        <v>8423</v>
      </c>
      <c r="B407" s="68" t="s">
        <v>55</v>
      </c>
      <c r="C407" s="70" t="s">
        <v>47</v>
      </c>
      <c r="D407" s="68">
        <v>3</v>
      </c>
      <c r="E407" s="70" t="s">
        <v>39</v>
      </c>
      <c r="F407" s="71">
        <v>0.73</v>
      </c>
      <c r="G407" s="71">
        <f t="shared" si="42"/>
        <v>2.19</v>
      </c>
      <c r="H407" s="68" t="s">
        <v>57</v>
      </c>
      <c r="I407" s="81"/>
      <c r="J407" s="133"/>
      <c r="K407" s="81"/>
      <c r="L407" s="81"/>
      <c r="M407" s="81"/>
      <c r="N407" s="81"/>
      <c r="O407" s="75">
        <v>405398</v>
      </c>
      <c r="P407" s="72">
        <v>1</v>
      </c>
      <c r="Q407" s="72">
        <v>0.2</v>
      </c>
    </row>
    <row r="408" customHeight="1" spans="1:17">
      <c r="A408" s="67">
        <v>8433</v>
      </c>
      <c r="B408" s="68" t="s">
        <v>56</v>
      </c>
      <c r="C408" s="70" t="s">
        <v>47</v>
      </c>
      <c r="D408" s="68">
        <v>4</v>
      </c>
      <c r="E408" s="70" t="s">
        <v>39</v>
      </c>
      <c r="F408" s="71">
        <v>0.8</v>
      </c>
      <c r="G408" s="71">
        <f t="shared" si="42"/>
        <v>3.2</v>
      </c>
      <c r="H408" s="68" t="s">
        <v>48</v>
      </c>
      <c r="I408" s="81"/>
      <c r="J408" s="133"/>
      <c r="K408" s="81"/>
      <c r="L408" s="81"/>
      <c r="M408" s="81"/>
      <c r="N408" s="81"/>
      <c r="O408" s="75">
        <v>405398</v>
      </c>
      <c r="P408" s="72">
        <v>2</v>
      </c>
      <c r="Q408" s="72">
        <v>0.42</v>
      </c>
    </row>
    <row r="409" customHeight="1" spans="1:17">
      <c r="A409" s="67">
        <v>8724</v>
      </c>
      <c r="B409" s="68" t="s">
        <v>53</v>
      </c>
      <c r="C409" s="70" t="s">
        <v>47</v>
      </c>
      <c r="D409" s="68">
        <v>15</v>
      </c>
      <c r="E409" s="70" t="s">
        <v>39</v>
      </c>
      <c r="F409" s="71">
        <v>0.82</v>
      </c>
      <c r="G409" s="71">
        <f t="shared" si="42"/>
        <v>12.3</v>
      </c>
      <c r="H409" s="68" t="s">
        <v>57</v>
      </c>
      <c r="I409" s="81"/>
      <c r="J409" s="133"/>
      <c r="K409" s="81"/>
      <c r="L409" s="81"/>
      <c r="M409" s="81"/>
      <c r="N409" s="81"/>
      <c r="O409" s="75">
        <v>405398</v>
      </c>
      <c r="P409" s="72">
        <v>5</v>
      </c>
      <c r="Q409" s="72">
        <v>1.6</v>
      </c>
    </row>
    <row r="410" customHeight="1" spans="1:17">
      <c r="A410" s="67">
        <v>8138</v>
      </c>
      <c r="B410" s="68" t="s">
        <v>50</v>
      </c>
      <c r="C410" s="70" t="s">
        <v>47</v>
      </c>
      <c r="D410" s="68">
        <v>20</v>
      </c>
      <c r="E410" s="70" t="s">
        <v>39</v>
      </c>
      <c r="F410" s="71">
        <v>1.01</v>
      </c>
      <c r="G410" s="71">
        <f t="shared" si="42"/>
        <v>20.2</v>
      </c>
      <c r="H410" s="68" t="s">
        <v>48</v>
      </c>
      <c r="I410" s="81"/>
      <c r="J410" s="133"/>
      <c r="K410" s="81"/>
      <c r="L410" s="81"/>
      <c r="M410" s="81"/>
      <c r="N410" s="81"/>
      <c r="O410" s="75">
        <v>405398</v>
      </c>
      <c r="P410" s="72">
        <v>10</v>
      </c>
      <c r="Q410" s="72">
        <v>2.4</v>
      </c>
    </row>
    <row r="411" customHeight="1" spans="1:17">
      <c r="A411" s="67">
        <v>8306</v>
      </c>
      <c r="B411" s="68" t="s">
        <v>54</v>
      </c>
      <c r="C411" s="70" t="s">
        <v>47</v>
      </c>
      <c r="D411" s="68">
        <v>64</v>
      </c>
      <c r="E411" s="70" t="s">
        <v>39</v>
      </c>
      <c r="F411" s="71">
        <v>0.7</v>
      </c>
      <c r="G411" s="71">
        <f t="shared" si="42"/>
        <v>44.8</v>
      </c>
      <c r="H411" s="68" t="s">
        <v>52</v>
      </c>
      <c r="I411" s="81"/>
      <c r="J411" s="133"/>
      <c r="K411" s="81"/>
      <c r="L411" s="81"/>
      <c r="M411" s="81"/>
      <c r="N411" s="81"/>
      <c r="O411" s="75">
        <v>405398</v>
      </c>
      <c r="P411" s="72">
        <v>16</v>
      </c>
      <c r="Q411" s="72">
        <v>6.8</v>
      </c>
    </row>
    <row r="412" customHeight="1" spans="1:17">
      <c r="A412" s="67">
        <v>7034</v>
      </c>
      <c r="B412" s="68" t="s">
        <v>58</v>
      </c>
      <c r="C412" s="70" t="s">
        <v>47</v>
      </c>
      <c r="D412" s="68">
        <v>1</v>
      </c>
      <c r="E412" s="70" t="s">
        <v>39</v>
      </c>
      <c r="F412" s="71">
        <v>0.8</v>
      </c>
      <c r="G412" s="71">
        <f t="shared" si="42"/>
        <v>0.8</v>
      </c>
      <c r="H412" s="68">
        <v>102</v>
      </c>
      <c r="I412" s="81"/>
      <c r="J412" s="133"/>
      <c r="K412" s="81"/>
      <c r="L412" s="81"/>
      <c r="M412" s="81"/>
      <c r="N412" s="81"/>
      <c r="O412" s="75">
        <v>405398</v>
      </c>
      <c r="P412" s="72">
        <v>1</v>
      </c>
      <c r="Q412" s="72">
        <v>0.06</v>
      </c>
    </row>
    <row r="413" customHeight="1" spans="1:17">
      <c r="A413" s="67">
        <v>7363</v>
      </c>
      <c r="B413" s="68" t="s">
        <v>59</v>
      </c>
      <c r="C413" s="70" t="s">
        <v>47</v>
      </c>
      <c r="D413" s="68">
        <v>3</v>
      </c>
      <c r="E413" s="70" t="s">
        <v>39</v>
      </c>
      <c r="F413" s="71">
        <v>1.39</v>
      </c>
      <c r="G413" s="71">
        <f t="shared" si="42"/>
        <v>4.17</v>
      </c>
      <c r="H413" s="68">
        <v>102</v>
      </c>
      <c r="I413" s="81"/>
      <c r="J413" s="133"/>
      <c r="K413" s="81"/>
      <c r="L413" s="81"/>
      <c r="M413" s="81"/>
      <c r="N413" s="81"/>
      <c r="O413" s="75">
        <v>405398</v>
      </c>
      <c r="P413" s="72">
        <v>3</v>
      </c>
      <c r="Q413" s="72">
        <v>0.21</v>
      </c>
    </row>
    <row r="414" customHeight="1" spans="1:17">
      <c r="A414" s="67">
        <v>8408</v>
      </c>
      <c r="B414" s="68" t="s">
        <v>60</v>
      </c>
      <c r="C414" s="70" t="s">
        <v>47</v>
      </c>
      <c r="D414" s="68">
        <v>1</v>
      </c>
      <c r="E414" s="70" t="s">
        <v>39</v>
      </c>
      <c r="F414" s="71">
        <v>0.99</v>
      </c>
      <c r="G414" s="71">
        <f t="shared" si="42"/>
        <v>0.99</v>
      </c>
      <c r="H414" s="68">
        <v>102</v>
      </c>
      <c r="I414" s="81"/>
      <c r="J414" s="133"/>
      <c r="K414" s="81"/>
      <c r="L414" s="81"/>
      <c r="M414" s="81"/>
      <c r="N414" s="81"/>
      <c r="O414" s="75">
        <v>405398</v>
      </c>
      <c r="P414" s="72">
        <v>1</v>
      </c>
      <c r="Q414" s="72">
        <v>0.115</v>
      </c>
    </row>
    <row r="415" customHeight="1" spans="1:17">
      <c r="A415" s="67">
        <v>8450</v>
      </c>
      <c r="B415" s="68" t="s">
        <v>61</v>
      </c>
      <c r="C415" s="70" t="s">
        <v>47</v>
      </c>
      <c r="D415" s="68">
        <v>1</v>
      </c>
      <c r="E415" s="70" t="s">
        <v>39</v>
      </c>
      <c r="F415" s="71">
        <v>0.86</v>
      </c>
      <c r="G415" s="71">
        <f t="shared" si="42"/>
        <v>0.86</v>
      </c>
      <c r="H415" s="68">
        <v>102</v>
      </c>
      <c r="I415" s="81"/>
      <c r="J415" s="133"/>
      <c r="K415" s="81"/>
      <c r="L415" s="81"/>
      <c r="M415" s="81"/>
      <c r="N415" s="81"/>
      <c r="O415" s="75">
        <v>405398</v>
      </c>
      <c r="P415" s="72">
        <v>1</v>
      </c>
      <c r="Q415" s="72">
        <v>0.05</v>
      </c>
    </row>
    <row r="416" customHeight="1" spans="1:17">
      <c r="A416" s="67">
        <v>7034</v>
      </c>
      <c r="B416" s="68" t="s">
        <v>58</v>
      </c>
      <c r="C416" s="70" t="s">
        <v>47</v>
      </c>
      <c r="D416" s="68">
        <v>10</v>
      </c>
      <c r="E416" s="70" t="s">
        <v>39</v>
      </c>
      <c r="F416" s="71">
        <v>0.8</v>
      </c>
      <c r="G416" s="71">
        <f t="shared" si="42"/>
        <v>8</v>
      </c>
      <c r="H416" s="68" t="s">
        <v>48</v>
      </c>
      <c r="I416" s="81"/>
      <c r="J416" s="133"/>
      <c r="K416" s="81"/>
      <c r="L416" s="81"/>
      <c r="M416" s="81"/>
      <c r="N416" s="81"/>
      <c r="O416" s="75">
        <v>405398</v>
      </c>
      <c r="P416" s="72">
        <v>5</v>
      </c>
      <c r="Q416" s="72">
        <v>0.6</v>
      </c>
    </row>
    <row r="417" customHeight="1" spans="1:17">
      <c r="A417" s="67">
        <v>7223</v>
      </c>
      <c r="B417" s="68" t="s">
        <v>46</v>
      </c>
      <c r="C417" s="70" t="s">
        <v>47</v>
      </c>
      <c r="D417" s="68">
        <v>1</v>
      </c>
      <c r="E417" s="70" t="s">
        <v>39</v>
      </c>
      <c r="F417" s="71">
        <v>0.91</v>
      </c>
      <c r="G417" s="71">
        <f t="shared" si="42"/>
        <v>0.91</v>
      </c>
      <c r="H417" s="68">
        <v>102</v>
      </c>
      <c r="I417" s="79"/>
      <c r="J417" s="134"/>
      <c r="K417" s="79"/>
      <c r="L417" s="79"/>
      <c r="M417" s="79"/>
      <c r="N417" s="79"/>
      <c r="O417" s="75">
        <v>405398</v>
      </c>
      <c r="P417" s="72">
        <v>1</v>
      </c>
      <c r="Q417" s="72">
        <v>0.115</v>
      </c>
    </row>
    <row r="418" customHeight="1" spans="1:17">
      <c r="A418" s="67" t="s">
        <v>62</v>
      </c>
      <c r="B418" s="68" t="s">
        <v>63</v>
      </c>
      <c r="C418" s="70" t="s">
        <v>47</v>
      </c>
      <c r="D418" s="68">
        <v>14</v>
      </c>
      <c r="E418" s="70" t="s">
        <v>39</v>
      </c>
      <c r="F418" s="71">
        <v>1.39</v>
      </c>
      <c r="G418" s="71">
        <f t="shared" si="42"/>
        <v>19.46</v>
      </c>
      <c r="H418" s="68" t="s">
        <v>48</v>
      </c>
      <c r="I418" s="80">
        <v>106</v>
      </c>
      <c r="J418" s="132">
        <v>1</v>
      </c>
      <c r="K418" s="80">
        <v>6.37</v>
      </c>
      <c r="L418" s="80">
        <v>7.37</v>
      </c>
      <c r="M418" s="80">
        <f>L418*J418</f>
        <v>7.37</v>
      </c>
      <c r="N418" s="80" t="s">
        <v>49</v>
      </c>
      <c r="O418" s="75">
        <v>405398</v>
      </c>
      <c r="P418" s="72">
        <v>7</v>
      </c>
      <c r="Q418" s="72">
        <v>0.98</v>
      </c>
    </row>
    <row r="419" customHeight="1" spans="1:17">
      <c r="A419" s="67">
        <v>8408</v>
      </c>
      <c r="B419" s="68" t="s">
        <v>60</v>
      </c>
      <c r="C419" s="70" t="s">
        <v>47</v>
      </c>
      <c r="D419" s="68">
        <v>10</v>
      </c>
      <c r="E419" s="70" t="s">
        <v>39</v>
      </c>
      <c r="F419" s="71">
        <v>0.99</v>
      </c>
      <c r="G419" s="71">
        <f t="shared" si="42"/>
        <v>9.9</v>
      </c>
      <c r="H419" s="68" t="s">
        <v>48</v>
      </c>
      <c r="I419" s="81"/>
      <c r="J419" s="133"/>
      <c r="K419" s="81"/>
      <c r="L419" s="81"/>
      <c r="M419" s="81"/>
      <c r="N419" s="81"/>
      <c r="O419" s="75">
        <v>405398</v>
      </c>
      <c r="P419" s="72">
        <v>5</v>
      </c>
      <c r="Q419" s="72">
        <v>1.15</v>
      </c>
    </row>
    <row r="420" customHeight="1" spans="1:17">
      <c r="A420" s="67">
        <v>8446</v>
      </c>
      <c r="B420" s="68" t="s">
        <v>64</v>
      </c>
      <c r="C420" s="70" t="s">
        <v>47</v>
      </c>
      <c r="D420" s="68">
        <v>64</v>
      </c>
      <c r="E420" s="70" t="s">
        <v>39</v>
      </c>
      <c r="F420" s="71">
        <v>0.77</v>
      </c>
      <c r="G420" s="71">
        <f t="shared" si="42"/>
        <v>49.28</v>
      </c>
      <c r="H420" s="68" t="s">
        <v>48</v>
      </c>
      <c r="I420" s="81"/>
      <c r="J420" s="133"/>
      <c r="K420" s="81"/>
      <c r="L420" s="81"/>
      <c r="M420" s="81"/>
      <c r="N420" s="81"/>
      <c r="O420" s="75">
        <v>405398</v>
      </c>
      <c r="P420" s="72">
        <v>32</v>
      </c>
      <c r="Q420" s="72">
        <v>2.24</v>
      </c>
    </row>
    <row r="421" customHeight="1" spans="1:17">
      <c r="A421" s="67">
        <v>7494</v>
      </c>
      <c r="B421" s="68" t="s">
        <v>65</v>
      </c>
      <c r="C421" s="70" t="s">
        <v>47</v>
      </c>
      <c r="D421" s="68">
        <v>9</v>
      </c>
      <c r="E421" s="70" t="s">
        <v>39</v>
      </c>
      <c r="F421" s="71">
        <v>0.92</v>
      </c>
      <c r="G421" s="71">
        <f t="shared" si="42"/>
        <v>8.28</v>
      </c>
      <c r="H421" s="68" t="s">
        <v>57</v>
      </c>
      <c r="I421" s="81"/>
      <c r="J421" s="133"/>
      <c r="K421" s="81"/>
      <c r="L421" s="81"/>
      <c r="M421" s="81"/>
      <c r="N421" s="81"/>
      <c r="O421" s="75">
        <v>405398</v>
      </c>
      <c r="P421" s="72">
        <v>3</v>
      </c>
      <c r="Q421" s="72">
        <v>1.2</v>
      </c>
    </row>
    <row r="422" customHeight="1" spans="1:17">
      <c r="A422" s="67">
        <v>8462</v>
      </c>
      <c r="B422" s="68" t="s">
        <v>66</v>
      </c>
      <c r="C422" s="70" t="s">
        <v>47</v>
      </c>
      <c r="D422" s="68">
        <v>9</v>
      </c>
      <c r="E422" s="70" t="s">
        <v>39</v>
      </c>
      <c r="F422" s="71">
        <v>1.05</v>
      </c>
      <c r="G422" s="71">
        <f t="shared" si="42"/>
        <v>9.45</v>
      </c>
      <c r="H422" s="68" t="s">
        <v>57</v>
      </c>
      <c r="I422" s="79"/>
      <c r="J422" s="134"/>
      <c r="K422" s="79"/>
      <c r="L422" s="79"/>
      <c r="M422" s="79"/>
      <c r="N422" s="79"/>
      <c r="O422" s="75">
        <v>405398</v>
      </c>
      <c r="P422" s="72">
        <v>3</v>
      </c>
      <c r="Q422" s="72">
        <v>0.8</v>
      </c>
    </row>
    <row r="423" customHeight="1" spans="1:17">
      <c r="A423" s="67">
        <v>8463</v>
      </c>
      <c r="B423" s="68" t="s">
        <v>51</v>
      </c>
      <c r="C423" s="70" t="s">
        <v>47</v>
      </c>
      <c r="D423" s="68">
        <v>196</v>
      </c>
      <c r="E423" s="70" t="s">
        <v>39</v>
      </c>
      <c r="F423" s="71">
        <v>0.78</v>
      </c>
      <c r="G423" s="71">
        <f t="shared" si="42"/>
        <v>152.88</v>
      </c>
      <c r="H423" s="68" t="s">
        <v>52</v>
      </c>
      <c r="I423" s="80">
        <v>197</v>
      </c>
      <c r="J423" s="132">
        <v>1</v>
      </c>
      <c r="K423" s="80">
        <v>12.11</v>
      </c>
      <c r="L423" s="80">
        <v>13.11</v>
      </c>
      <c r="M423" s="80">
        <f t="shared" ref="M423:M427" si="45">L423*J423</f>
        <v>13.11</v>
      </c>
      <c r="N423" s="80" t="s">
        <v>49</v>
      </c>
      <c r="O423" s="75">
        <v>405398</v>
      </c>
      <c r="P423" s="72">
        <v>49</v>
      </c>
      <c r="Q423" s="3">
        <v>11.76</v>
      </c>
    </row>
    <row r="424" customHeight="1" spans="1:17">
      <c r="A424" s="67">
        <v>8446</v>
      </c>
      <c r="B424" s="68" t="s">
        <v>64</v>
      </c>
      <c r="C424" s="70" t="s">
        <v>47</v>
      </c>
      <c r="D424" s="68">
        <v>1</v>
      </c>
      <c r="E424" s="70" t="s">
        <v>39</v>
      </c>
      <c r="F424" s="71">
        <v>0.77</v>
      </c>
      <c r="G424" s="71">
        <f t="shared" si="42"/>
        <v>0.77</v>
      </c>
      <c r="H424" s="68">
        <v>102</v>
      </c>
      <c r="I424" s="79"/>
      <c r="J424" s="134"/>
      <c r="K424" s="79"/>
      <c r="L424" s="79"/>
      <c r="M424" s="79"/>
      <c r="N424" s="79"/>
      <c r="O424" s="75">
        <v>405398</v>
      </c>
      <c r="P424" s="72">
        <v>1</v>
      </c>
      <c r="Q424" s="72">
        <v>0.35</v>
      </c>
    </row>
    <row r="425" customHeight="1" spans="1:17">
      <c r="A425" s="67" t="s">
        <v>67</v>
      </c>
      <c r="B425" s="68" t="s">
        <v>51</v>
      </c>
      <c r="C425" s="69" t="s">
        <v>47</v>
      </c>
      <c r="D425" s="68">
        <v>98</v>
      </c>
      <c r="E425" s="69" t="s">
        <v>39</v>
      </c>
      <c r="F425" s="76">
        <v>0.78</v>
      </c>
      <c r="G425" s="77">
        <f t="shared" si="42"/>
        <v>76.44</v>
      </c>
      <c r="H425" s="78" t="s">
        <v>48</v>
      </c>
      <c r="I425" s="81">
        <v>99</v>
      </c>
      <c r="J425" s="133">
        <v>1</v>
      </c>
      <c r="K425" s="81">
        <v>5.94</v>
      </c>
      <c r="L425" s="81">
        <v>6.94</v>
      </c>
      <c r="M425" s="80">
        <f t="shared" si="45"/>
        <v>6.94</v>
      </c>
      <c r="N425" s="81" t="s">
        <v>49</v>
      </c>
      <c r="O425" s="23">
        <v>420867</v>
      </c>
      <c r="P425" s="72">
        <v>49</v>
      </c>
      <c r="Q425" s="47">
        <v>5.88</v>
      </c>
    </row>
    <row r="426" customHeight="1" spans="1:17">
      <c r="A426" s="67" t="s">
        <v>68</v>
      </c>
      <c r="B426" s="68" t="s">
        <v>58</v>
      </c>
      <c r="C426" s="69" t="s">
        <v>47</v>
      </c>
      <c r="D426" s="68">
        <v>1</v>
      </c>
      <c r="E426" s="69" t="s">
        <v>39</v>
      </c>
      <c r="F426" s="76">
        <v>0.8</v>
      </c>
      <c r="G426" s="77">
        <f t="shared" si="42"/>
        <v>0.8</v>
      </c>
      <c r="H426" s="78">
        <v>102</v>
      </c>
      <c r="I426" s="79"/>
      <c r="J426" s="134"/>
      <c r="K426" s="79"/>
      <c r="L426" s="79"/>
      <c r="M426" s="79"/>
      <c r="N426" s="79"/>
      <c r="O426" s="23">
        <v>420867</v>
      </c>
      <c r="P426" s="72">
        <v>1</v>
      </c>
      <c r="Q426" s="47">
        <v>0.06</v>
      </c>
    </row>
    <row r="427" customHeight="1" spans="1:17">
      <c r="A427" s="67" t="s">
        <v>69</v>
      </c>
      <c r="B427" s="68" t="s">
        <v>50</v>
      </c>
      <c r="C427" s="69" t="s">
        <v>47</v>
      </c>
      <c r="D427" s="68">
        <v>3</v>
      </c>
      <c r="E427" s="69" t="s">
        <v>39</v>
      </c>
      <c r="F427" s="76">
        <v>1.01</v>
      </c>
      <c r="G427" s="77">
        <f t="shared" si="42"/>
        <v>3.03</v>
      </c>
      <c r="H427" s="78">
        <v>102</v>
      </c>
      <c r="I427" s="81">
        <v>70</v>
      </c>
      <c r="J427" s="133">
        <v>1</v>
      </c>
      <c r="K427" s="81">
        <v>7.26</v>
      </c>
      <c r="L427" s="81">
        <v>8.26</v>
      </c>
      <c r="M427" s="80">
        <f t="shared" si="45"/>
        <v>8.26</v>
      </c>
      <c r="N427" s="81" t="s">
        <v>49</v>
      </c>
      <c r="O427" s="23">
        <v>420867</v>
      </c>
      <c r="P427" s="72">
        <v>3</v>
      </c>
      <c r="Q427" s="47">
        <v>0.36</v>
      </c>
    </row>
    <row r="428" customHeight="1" spans="1:17">
      <c r="A428" s="67" t="s">
        <v>68</v>
      </c>
      <c r="B428" s="68" t="s">
        <v>58</v>
      </c>
      <c r="C428" s="69" t="s">
        <v>47</v>
      </c>
      <c r="D428" s="68">
        <v>12</v>
      </c>
      <c r="E428" s="69" t="s">
        <v>39</v>
      </c>
      <c r="F428" s="76">
        <v>0.8</v>
      </c>
      <c r="G428" s="77">
        <f t="shared" si="42"/>
        <v>9.6</v>
      </c>
      <c r="H428" s="78" t="s">
        <v>57</v>
      </c>
      <c r="I428" s="81"/>
      <c r="J428" s="133"/>
      <c r="K428" s="81"/>
      <c r="L428" s="81"/>
      <c r="M428" s="81"/>
      <c r="N428" s="81"/>
      <c r="O428" s="23">
        <v>420867</v>
      </c>
      <c r="P428" s="72">
        <v>4</v>
      </c>
      <c r="Q428" s="47">
        <v>0.72</v>
      </c>
    </row>
    <row r="429" customHeight="1" spans="1:17">
      <c r="A429" s="67">
        <v>7223</v>
      </c>
      <c r="B429" s="68" t="s">
        <v>46</v>
      </c>
      <c r="C429" s="69" t="s">
        <v>47</v>
      </c>
      <c r="D429" s="68">
        <v>26</v>
      </c>
      <c r="E429" s="69" t="s">
        <v>39</v>
      </c>
      <c r="F429" s="76">
        <v>0.91</v>
      </c>
      <c r="G429" s="77">
        <f t="shared" si="42"/>
        <v>23.66</v>
      </c>
      <c r="H429" s="78" t="s">
        <v>48</v>
      </c>
      <c r="I429" s="81"/>
      <c r="J429" s="133"/>
      <c r="K429" s="81"/>
      <c r="L429" s="81"/>
      <c r="M429" s="81"/>
      <c r="N429" s="81"/>
      <c r="O429" s="23">
        <v>420867</v>
      </c>
      <c r="P429" s="72">
        <v>13</v>
      </c>
      <c r="Q429" s="47">
        <v>2.99</v>
      </c>
    </row>
    <row r="430" customHeight="1" spans="1:17">
      <c r="A430" s="67">
        <v>8423</v>
      </c>
      <c r="B430" s="68" t="s">
        <v>55</v>
      </c>
      <c r="C430" s="69" t="s">
        <v>47</v>
      </c>
      <c r="D430" s="68">
        <v>3</v>
      </c>
      <c r="E430" s="69" t="s">
        <v>39</v>
      </c>
      <c r="F430" s="76">
        <v>0.73</v>
      </c>
      <c r="G430" s="77">
        <f t="shared" si="42"/>
        <v>2.19</v>
      </c>
      <c r="H430" s="78" t="s">
        <v>57</v>
      </c>
      <c r="I430" s="81"/>
      <c r="J430" s="133"/>
      <c r="K430" s="81"/>
      <c r="L430" s="81"/>
      <c r="M430" s="81"/>
      <c r="N430" s="81"/>
      <c r="O430" s="23">
        <v>420867</v>
      </c>
      <c r="P430" s="72">
        <v>1</v>
      </c>
      <c r="Q430" s="47">
        <v>0.2</v>
      </c>
    </row>
    <row r="431" customHeight="1" spans="1:17">
      <c r="A431" s="67">
        <v>7223</v>
      </c>
      <c r="B431" s="68" t="s">
        <v>46</v>
      </c>
      <c r="C431" s="70" t="s">
        <v>47</v>
      </c>
      <c r="D431" s="68">
        <v>26</v>
      </c>
      <c r="E431" s="70" t="s">
        <v>39</v>
      </c>
      <c r="F431" s="71">
        <v>0.91</v>
      </c>
      <c r="G431" s="71">
        <f t="shared" si="42"/>
        <v>23.66</v>
      </c>
      <c r="H431" s="68" t="s">
        <v>48</v>
      </c>
      <c r="I431" s="79"/>
      <c r="J431" s="134"/>
      <c r="K431" s="79"/>
      <c r="L431" s="79"/>
      <c r="M431" s="79"/>
      <c r="N431" s="79"/>
      <c r="O431" s="75">
        <v>405398</v>
      </c>
      <c r="P431" s="72">
        <v>13</v>
      </c>
      <c r="Q431" s="72">
        <v>2.99</v>
      </c>
    </row>
    <row r="432" customHeight="1" spans="1:17">
      <c r="A432" s="67">
        <v>8423</v>
      </c>
      <c r="B432" s="68" t="s">
        <v>55</v>
      </c>
      <c r="C432" s="69" t="s">
        <v>47</v>
      </c>
      <c r="D432" s="68">
        <v>120</v>
      </c>
      <c r="E432" s="69" t="s">
        <v>39</v>
      </c>
      <c r="F432" s="76">
        <v>0.73</v>
      </c>
      <c r="G432" s="77">
        <f t="shared" si="42"/>
        <v>87.6</v>
      </c>
      <c r="H432" s="78" t="s">
        <v>52</v>
      </c>
      <c r="I432" s="81">
        <v>146</v>
      </c>
      <c r="J432" s="133">
        <v>1</v>
      </c>
      <c r="K432" s="81">
        <v>8.65</v>
      </c>
      <c r="L432" s="81">
        <v>9.65</v>
      </c>
      <c r="M432" s="80">
        <f>L432*J432</f>
        <v>9.65</v>
      </c>
      <c r="N432" s="81" t="s">
        <v>49</v>
      </c>
      <c r="O432" s="23">
        <v>420867</v>
      </c>
      <c r="P432" s="72">
        <v>30</v>
      </c>
      <c r="Q432" s="47">
        <v>7.74</v>
      </c>
    </row>
    <row r="433" customHeight="1" spans="1:17">
      <c r="A433" s="67">
        <v>8446</v>
      </c>
      <c r="B433" s="68" t="s">
        <v>64</v>
      </c>
      <c r="C433" s="69" t="s">
        <v>47</v>
      </c>
      <c r="D433" s="68">
        <v>26</v>
      </c>
      <c r="E433" s="69" t="s">
        <v>39</v>
      </c>
      <c r="F433" s="76">
        <v>0.77</v>
      </c>
      <c r="G433" s="77">
        <f t="shared" si="42"/>
        <v>20.02</v>
      </c>
      <c r="H433" s="78" t="s">
        <v>48</v>
      </c>
      <c r="I433" s="79"/>
      <c r="J433" s="134"/>
      <c r="K433" s="79"/>
      <c r="L433" s="79"/>
      <c r="M433" s="79"/>
      <c r="N433" s="79"/>
      <c r="O433" s="23">
        <v>420867</v>
      </c>
      <c r="P433" s="72">
        <v>13</v>
      </c>
      <c r="Q433" s="47">
        <v>0.91</v>
      </c>
    </row>
    <row r="434" customHeight="1" spans="1:17">
      <c r="A434" s="84">
        <v>18075</v>
      </c>
      <c r="B434" s="79" t="s">
        <v>80</v>
      </c>
      <c r="C434" s="85" t="s">
        <v>81</v>
      </c>
      <c r="D434" s="79">
        <v>50</v>
      </c>
      <c r="E434" s="85" t="s">
        <v>39</v>
      </c>
      <c r="F434" s="86">
        <v>2.55</v>
      </c>
      <c r="G434" s="87">
        <f t="shared" si="42"/>
        <v>127.5</v>
      </c>
      <c r="H434" s="78">
        <v>102</v>
      </c>
      <c r="I434" s="79">
        <v>50</v>
      </c>
      <c r="J434" s="134">
        <f>D434/I434</f>
        <v>1</v>
      </c>
      <c r="K434" s="79">
        <v>14</v>
      </c>
      <c r="L434" s="79">
        <v>15.3</v>
      </c>
      <c r="M434" s="79">
        <f>L434*J434</f>
        <v>15.3</v>
      </c>
      <c r="N434" s="79" t="s">
        <v>49</v>
      </c>
      <c r="O434" s="75">
        <v>405398</v>
      </c>
      <c r="P434" s="47"/>
      <c r="Q434" s="47"/>
    </row>
    <row r="435" customHeight="1" spans="1:17">
      <c r="A435" s="67">
        <v>18217</v>
      </c>
      <c r="B435" s="68" t="s">
        <v>85</v>
      </c>
      <c r="C435" s="70" t="s">
        <v>81</v>
      </c>
      <c r="D435" s="68">
        <v>1000</v>
      </c>
      <c r="E435" s="70" t="s">
        <v>39</v>
      </c>
      <c r="F435" s="76">
        <v>2</v>
      </c>
      <c r="G435" s="88">
        <f t="shared" si="42"/>
        <v>2000</v>
      </c>
      <c r="H435" s="68">
        <v>102</v>
      </c>
      <c r="I435" s="68">
        <v>50</v>
      </c>
      <c r="J435" s="131">
        <f>D435/I435</f>
        <v>20</v>
      </c>
      <c r="K435" s="68">
        <v>12.5</v>
      </c>
      <c r="L435" s="68">
        <v>13.8</v>
      </c>
      <c r="M435" s="68">
        <f>L435*J435</f>
        <v>276</v>
      </c>
      <c r="N435" s="68" t="s">
        <v>49</v>
      </c>
      <c r="O435" s="23">
        <v>420867</v>
      </c>
      <c r="P435" s="47"/>
      <c r="Q435" s="47"/>
    </row>
    <row r="436" customHeight="1" spans="1:17">
      <c r="A436" s="67">
        <v>18432</v>
      </c>
      <c r="B436" s="68" t="s">
        <v>92</v>
      </c>
      <c r="C436" s="70" t="s">
        <v>81</v>
      </c>
      <c r="D436" s="68">
        <v>300</v>
      </c>
      <c r="E436" s="92" t="s">
        <v>39</v>
      </c>
      <c r="F436" s="71">
        <v>1.85</v>
      </c>
      <c r="G436" s="71">
        <f t="shared" si="42"/>
        <v>555</v>
      </c>
      <c r="H436" s="68">
        <v>102</v>
      </c>
      <c r="I436" s="68">
        <v>50</v>
      </c>
      <c r="J436" s="131">
        <f>D436/I436</f>
        <v>6</v>
      </c>
      <c r="K436" s="68">
        <v>10.25</v>
      </c>
      <c r="L436" s="68">
        <v>11.55</v>
      </c>
      <c r="M436" s="68">
        <f>L436*J436</f>
        <v>69.3</v>
      </c>
      <c r="N436" s="68" t="s">
        <v>49</v>
      </c>
      <c r="O436" s="75">
        <v>405398</v>
      </c>
      <c r="P436" s="47"/>
      <c r="Q436" s="82"/>
    </row>
    <row r="437" customHeight="1" spans="1:17">
      <c r="A437" s="67">
        <v>18108</v>
      </c>
      <c r="B437" s="68" t="s">
        <v>96</v>
      </c>
      <c r="C437" s="70" t="s">
        <v>81</v>
      </c>
      <c r="D437" s="68">
        <v>13</v>
      </c>
      <c r="E437" s="70" t="s">
        <v>39</v>
      </c>
      <c r="F437" s="71">
        <v>2.38</v>
      </c>
      <c r="G437" s="71">
        <f t="shared" ref="G434:G460" si="46">F437*D437</f>
        <v>30.94</v>
      </c>
      <c r="H437" s="80">
        <v>102</v>
      </c>
      <c r="I437" s="80">
        <v>50</v>
      </c>
      <c r="J437" s="132">
        <v>1</v>
      </c>
      <c r="K437" s="80">
        <v>12.98</v>
      </c>
      <c r="L437" s="80">
        <v>13.98</v>
      </c>
      <c r="M437" s="80">
        <f>L437*J437</f>
        <v>13.98</v>
      </c>
      <c r="N437" s="80" t="s">
        <v>49</v>
      </c>
      <c r="O437" s="75">
        <v>405398</v>
      </c>
      <c r="P437" s="47">
        <v>3.575</v>
      </c>
      <c r="Q437" s="47"/>
    </row>
    <row r="438" customHeight="1" spans="1:17">
      <c r="A438" s="67">
        <v>18305</v>
      </c>
      <c r="B438" s="68" t="s">
        <v>89</v>
      </c>
      <c r="C438" s="70" t="s">
        <v>81</v>
      </c>
      <c r="D438" s="68">
        <v>13</v>
      </c>
      <c r="E438" s="70" t="s">
        <v>39</v>
      </c>
      <c r="F438" s="71">
        <v>2.1</v>
      </c>
      <c r="G438" s="71">
        <f t="shared" si="46"/>
        <v>27.3</v>
      </c>
      <c r="H438" s="81"/>
      <c r="I438" s="81"/>
      <c r="J438" s="133"/>
      <c r="K438" s="81"/>
      <c r="L438" s="81"/>
      <c r="M438" s="81"/>
      <c r="N438" s="81"/>
      <c r="O438" s="75">
        <v>405398</v>
      </c>
      <c r="P438" s="47">
        <v>2.925</v>
      </c>
      <c r="Q438" s="47"/>
    </row>
    <row r="439" customHeight="1" spans="1:17">
      <c r="A439" s="67">
        <v>18805</v>
      </c>
      <c r="B439" s="68" t="s">
        <v>97</v>
      </c>
      <c r="C439" s="70" t="s">
        <v>81</v>
      </c>
      <c r="D439" s="68">
        <v>17</v>
      </c>
      <c r="E439" s="70" t="s">
        <v>39</v>
      </c>
      <c r="F439" s="71">
        <v>2.7</v>
      </c>
      <c r="G439" s="71">
        <f t="shared" si="46"/>
        <v>45.9</v>
      </c>
      <c r="H439" s="81"/>
      <c r="I439" s="81"/>
      <c r="J439" s="133"/>
      <c r="K439" s="81"/>
      <c r="L439" s="81"/>
      <c r="M439" s="81"/>
      <c r="N439" s="81"/>
      <c r="O439" s="75">
        <v>405398</v>
      </c>
      <c r="P439" s="47">
        <v>4.59</v>
      </c>
      <c r="Q439" s="47"/>
    </row>
    <row r="440" customHeight="1" spans="1:17">
      <c r="A440" s="67">
        <v>18219</v>
      </c>
      <c r="B440" s="68" t="s">
        <v>86</v>
      </c>
      <c r="C440" s="70" t="s">
        <v>81</v>
      </c>
      <c r="D440" s="68">
        <v>7</v>
      </c>
      <c r="E440" s="70" t="s">
        <v>39</v>
      </c>
      <c r="F440" s="71">
        <v>2</v>
      </c>
      <c r="G440" s="71">
        <f t="shared" si="46"/>
        <v>14</v>
      </c>
      <c r="H440" s="79"/>
      <c r="I440" s="79"/>
      <c r="J440" s="134"/>
      <c r="K440" s="79"/>
      <c r="L440" s="79"/>
      <c r="M440" s="79"/>
      <c r="N440" s="79"/>
      <c r="O440" s="75">
        <v>405398</v>
      </c>
      <c r="P440" s="47">
        <v>1.89</v>
      </c>
      <c r="Q440" s="47"/>
    </row>
    <row r="441" customHeight="1" spans="1:17">
      <c r="A441" s="67">
        <v>18205</v>
      </c>
      <c r="B441" s="68" t="s">
        <v>98</v>
      </c>
      <c r="C441" s="70" t="s">
        <v>81</v>
      </c>
      <c r="D441" s="68">
        <v>4</v>
      </c>
      <c r="E441" s="70" t="s">
        <v>39</v>
      </c>
      <c r="F441" s="71">
        <v>2.48</v>
      </c>
      <c r="G441" s="71">
        <f t="shared" si="46"/>
        <v>9.92</v>
      </c>
      <c r="H441" s="80">
        <v>102</v>
      </c>
      <c r="I441" s="80">
        <v>42</v>
      </c>
      <c r="J441" s="132">
        <v>1</v>
      </c>
      <c r="K441" s="80">
        <v>11.74</v>
      </c>
      <c r="L441" s="80">
        <v>12.74</v>
      </c>
      <c r="M441" s="80">
        <f>L441*J441</f>
        <v>12.74</v>
      </c>
      <c r="N441" s="80" t="s">
        <v>49</v>
      </c>
      <c r="O441" s="75">
        <v>405398</v>
      </c>
      <c r="P441" s="47">
        <v>1.1</v>
      </c>
      <c r="Q441" s="47"/>
    </row>
    <row r="442" customHeight="1" spans="1:17">
      <c r="A442" s="67">
        <v>18379</v>
      </c>
      <c r="B442" s="68" t="s">
        <v>91</v>
      </c>
      <c r="C442" s="70" t="s">
        <v>81</v>
      </c>
      <c r="D442" s="68">
        <v>38</v>
      </c>
      <c r="E442" s="70" t="s">
        <v>39</v>
      </c>
      <c r="F442" s="71">
        <v>2.38</v>
      </c>
      <c r="G442" s="71">
        <f t="shared" si="46"/>
        <v>90.44</v>
      </c>
      <c r="H442" s="79"/>
      <c r="I442" s="79"/>
      <c r="J442" s="134"/>
      <c r="K442" s="79"/>
      <c r="L442" s="79"/>
      <c r="M442" s="79"/>
      <c r="N442" s="79"/>
      <c r="O442" s="75">
        <v>405398</v>
      </c>
      <c r="P442" s="47">
        <v>10.64</v>
      </c>
      <c r="Q442" s="47"/>
    </row>
    <row r="443" customHeight="1" spans="1:17">
      <c r="A443" s="67">
        <v>18110</v>
      </c>
      <c r="B443" s="68" t="s">
        <v>99</v>
      </c>
      <c r="C443" s="70" t="s">
        <v>81</v>
      </c>
      <c r="D443" s="68">
        <v>36</v>
      </c>
      <c r="E443" s="70" t="s">
        <v>39</v>
      </c>
      <c r="F443" s="71">
        <v>2.2</v>
      </c>
      <c r="G443" s="71">
        <f t="shared" si="46"/>
        <v>79.2</v>
      </c>
      <c r="H443" s="80">
        <v>102</v>
      </c>
      <c r="I443" s="80">
        <v>50</v>
      </c>
      <c r="J443" s="132">
        <v>1</v>
      </c>
      <c r="K443" s="80">
        <v>12.16</v>
      </c>
      <c r="L443" s="80">
        <v>13.16</v>
      </c>
      <c r="M443" s="80">
        <f>L443*J443</f>
        <v>13.16</v>
      </c>
      <c r="N443" s="80" t="s">
        <v>49</v>
      </c>
      <c r="O443" s="75">
        <v>405398</v>
      </c>
      <c r="P443" s="47">
        <v>8.1</v>
      </c>
      <c r="Q443" s="47"/>
    </row>
    <row r="444" customHeight="1" spans="1:17">
      <c r="A444" s="67">
        <v>19767</v>
      </c>
      <c r="B444" s="73" t="s">
        <v>100</v>
      </c>
      <c r="C444" s="70" t="s">
        <v>81</v>
      </c>
      <c r="D444" s="68">
        <v>2</v>
      </c>
      <c r="E444" s="70" t="s">
        <v>39</v>
      </c>
      <c r="F444" s="71">
        <v>2.36</v>
      </c>
      <c r="G444" s="71">
        <f t="shared" si="46"/>
        <v>4.72</v>
      </c>
      <c r="H444" s="81"/>
      <c r="I444" s="81"/>
      <c r="J444" s="133"/>
      <c r="K444" s="81"/>
      <c r="L444" s="81"/>
      <c r="M444" s="81"/>
      <c r="N444" s="81"/>
      <c r="O444" s="75">
        <v>405398</v>
      </c>
      <c r="P444" s="47">
        <v>0.36</v>
      </c>
      <c r="Q444" s="47"/>
    </row>
    <row r="445" customHeight="1" spans="1:17">
      <c r="A445" s="67">
        <v>18360</v>
      </c>
      <c r="B445" s="68" t="s">
        <v>101</v>
      </c>
      <c r="C445" s="70" t="s">
        <v>81</v>
      </c>
      <c r="D445" s="68">
        <v>4</v>
      </c>
      <c r="E445" s="70" t="s">
        <v>39</v>
      </c>
      <c r="F445" s="71">
        <v>2.7</v>
      </c>
      <c r="G445" s="71">
        <f t="shared" si="46"/>
        <v>10.8</v>
      </c>
      <c r="H445" s="81"/>
      <c r="I445" s="81"/>
      <c r="J445" s="133"/>
      <c r="K445" s="81"/>
      <c r="L445" s="81"/>
      <c r="M445" s="81"/>
      <c r="N445" s="81"/>
      <c r="O445" s="75">
        <v>405398</v>
      </c>
      <c r="P445" s="47">
        <v>1.54</v>
      </c>
      <c r="Q445" s="47"/>
    </row>
    <row r="446" customHeight="1" spans="1:17">
      <c r="A446" s="89">
        <v>18221</v>
      </c>
      <c r="B446" s="90" t="s">
        <v>87</v>
      </c>
      <c r="C446" s="70" t="s">
        <v>81</v>
      </c>
      <c r="D446" s="90">
        <v>8</v>
      </c>
      <c r="E446" s="70" t="s">
        <v>39</v>
      </c>
      <c r="F446" s="71">
        <v>2.3</v>
      </c>
      <c r="G446" s="71">
        <f t="shared" si="46"/>
        <v>18.4</v>
      </c>
      <c r="H446" s="79"/>
      <c r="I446" s="79"/>
      <c r="J446" s="134"/>
      <c r="K446" s="79"/>
      <c r="L446" s="79"/>
      <c r="M446" s="79"/>
      <c r="N446" s="79"/>
      <c r="O446" s="75">
        <v>405398</v>
      </c>
      <c r="P446" s="47">
        <v>2.16</v>
      </c>
      <c r="Q446" s="47"/>
    </row>
    <row r="447" customHeight="1" spans="1:17">
      <c r="A447" s="67">
        <v>18375</v>
      </c>
      <c r="B447" s="68" t="s">
        <v>90</v>
      </c>
      <c r="C447" s="70" t="s">
        <v>81</v>
      </c>
      <c r="D447" s="68">
        <v>9</v>
      </c>
      <c r="E447" s="70" t="s">
        <v>39</v>
      </c>
      <c r="F447" s="71">
        <v>2.54</v>
      </c>
      <c r="G447" s="71">
        <f t="shared" si="46"/>
        <v>22.86</v>
      </c>
      <c r="H447" s="80">
        <v>102</v>
      </c>
      <c r="I447" s="80">
        <v>44</v>
      </c>
      <c r="J447" s="132">
        <v>1</v>
      </c>
      <c r="K447" s="80">
        <v>12.6</v>
      </c>
      <c r="L447" s="80">
        <v>13.6</v>
      </c>
      <c r="M447" s="80">
        <f>L447*J447</f>
        <v>13.6</v>
      </c>
      <c r="N447" s="95" t="s">
        <v>49</v>
      </c>
      <c r="O447" s="75">
        <v>405398</v>
      </c>
      <c r="P447" s="47">
        <v>2.1762</v>
      </c>
      <c r="Q447" s="47"/>
    </row>
    <row r="448" customHeight="1" spans="1:17">
      <c r="A448" s="67">
        <v>19533</v>
      </c>
      <c r="B448" s="68" t="s">
        <v>102</v>
      </c>
      <c r="C448" s="70" t="s">
        <v>81</v>
      </c>
      <c r="D448" s="68">
        <v>15</v>
      </c>
      <c r="E448" s="70" t="s">
        <v>39</v>
      </c>
      <c r="F448" s="71">
        <v>2.62</v>
      </c>
      <c r="G448" s="71">
        <f t="shared" si="46"/>
        <v>39.3</v>
      </c>
      <c r="H448" s="81"/>
      <c r="I448" s="81"/>
      <c r="J448" s="133"/>
      <c r="K448" s="81"/>
      <c r="L448" s="81"/>
      <c r="M448" s="81"/>
      <c r="N448" s="96"/>
      <c r="O448" s="75">
        <v>405398</v>
      </c>
      <c r="P448" s="47">
        <v>4.59</v>
      </c>
      <c r="Q448" s="47"/>
    </row>
    <row r="449" customHeight="1" spans="1:17">
      <c r="A449" s="67">
        <v>18075</v>
      </c>
      <c r="B449" s="68" t="s">
        <v>80</v>
      </c>
      <c r="C449" s="70" t="s">
        <v>81</v>
      </c>
      <c r="D449" s="68">
        <v>19</v>
      </c>
      <c r="E449" s="70" t="s">
        <v>39</v>
      </c>
      <c r="F449" s="71">
        <v>2.55</v>
      </c>
      <c r="G449" s="71">
        <f t="shared" si="46"/>
        <v>48.45</v>
      </c>
      <c r="H449" s="79"/>
      <c r="I449" s="81"/>
      <c r="J449" s="133"/>
      <c r="K449" s="81"/>
      <c r="L449" s="81"/>
      <c r="M449" s="81"/>
      <c r="N449" s="96"/>
      <c r="O449" s="75">
        <v>405398</v>
      </c>
      <c r="P449" s="47">
        <v>5.32</v>
      </c>
      <c r="Q449" s="47"/>
    </row>
    <row r="450" customHeight="1" spans="1:17">
      <c r="A450" s="67">
        <v>18614</v>
      </c>
      <c r="B450" s="68" t="s">
        <v>103</v>
      </c>
      <c r="C450" s="70" t="s">
        <v>81</v>
      </c>
      <c r="D450" s="68">
        <v>1</v>
      </c>
      <c r="E450" s="70" t="s">
        <v>39</v>
      </c>
      <c r="F450" s="71">
        <v>3.5</v>
      </c>
      <c r="G450" s="71">
        <f t="shared" si="46"/>
        <v>3.5</v>
      </c>
      <c r="H450" s="68">
        <v>105</v>
      </c>
      <c r="I450" s="79"/>
      <c r="J450" s="134"/>
      <c r="K450" s="79"/>
      <c r="L450" s="79"/>
      <c r="M450" s="79"/>
      <c r="N450" s="97"/>
      <c r="O450" s="75">
        <v>405398</v>
      </c>
      <c r="P450" s="47">
        <v>0.57</v>
      </c>
      <c r="Q450" s="47"/>
    </row>
    <row r="451" customHeight="1" spans="1:17">
      <c r="A451" s="67">
        <v>18655</v>
      </c>
      <c r="B451" s="68" t="s">
        <v>104</v>
      </c>
      <c r="C451" s="70" t="s">
        <v>81</v>
      </c>
      <c r="D451" s="68">
        <v>24</v>
      </c>
      <c r="E451" s="70" t="s">
        <v>39</v>
      </c>
      <c r="F451" s="71">
        <v>2.79</v>
      </c>
      <c r="G451" s="71">
        <f t="shared" si="46"/>
        <v>66.96</v>
      </c>
      <c r="H451" s="80">
        <v>102</v>
      </c>
      <c r="I451" s="80">
        <v>49</v>
      </c>
      <c r="J451" s="132">
        <v>1</v>
      </c>
      <c r="K451" s="80">
        <v>14.6</v>
      </c>
      <c r="L451" s="80">
        <v>15.6</v>
      </c>
      <c r="M451" s="80">
        <f>L451*J451</f>
        <v>15.6</v>
      </c>
      <c r="N451" s="80" t="s">
        <v>49</v>
      </c>
      <c r="O451" s="75">
        <v>405398</v>
      </c>
      <c r="P451" s="47">
        <v>8.28</v>
      </c>
      <c r="Q451" s="47"/>
    </row>
    <row r="452" customHeight="1" spans="1:17">
      <c r="A452" s="67">
        <v>18072</v>
      </c>
      <c r="B452" s="68" t="s">
        <v>105</v>
      </c>
      <c r="C452" s="70" t="s">
        <v>81</v>
      </c>
      <c r="D452" s="68">
        <v>25</v>
      </c>
      <c r="E452" s="70" t="s">
        <v>39</v>
      </c>
      <c r="F452" s="71">
        <v>2.2</v>
      </c>
      <c r="G452" s="71">
        <f t="shared" si="46"/>
        <v>55</v>
      </c>
      <c r="H452" s="79"/>
      <c r="I452" s="79"/>
      <c r="J452" s="134"/>
      <c r="K452" s="79"/>
      <c r="L452" s="79"/>
      <c r="M452" s="79"/>
      <c r="N452" s="79"/>
      <c r="O452" s="75">
        <v>405398</v>
      </c>
      <c r="P452" s="47">
        <v>6.375</v>
      </c>
      <c r="Q452" s="47"/>
    </row>
    <row r="453" customHeight="1" spans="1:17">
      <c r="A453" s="73">
        <v>18360</v>
      </c>
      <c r="B453" s="68" t="s">
        <v>101</v>
      </c>
      <c r="C453" s="70" t="s">
        <v>81</v>
      </c>
      <c r="D453" s="68">
        <v>10</v>
      </c>
      <c r="E453" s="70" t="s">
        <v>39</v>
      </c>
      <c r="F453" s="105">
        <v>2.7</v>
      </c>
      <c r="G453" s="77">
        <f t="shared" si="46"/>
        <v>27</v>
      </c>
      <c r="H453" s="68">
        <v>102</v>
      </c>
      <c r="I453" s="68">
        <v>49</v>
      </c>
      <c r="J453" s="131">
        <v>1</v>
      </c>
      <c r="K453" s="68">
        <v>11.7</v>
      </c>
      <c r="L453" s="68">
        <v>12.7</v>
      </c>
      <c r="M453" s="68">
        <f>L453*J453</f>
        <v>12.7</v>
      </c>
      <c r="N453" s="68" t="s">
        <v>49</v>
      </c>
      <c r="O453" s="23">
        <v>420867</v>
      </c>
      <c r="P453" s="47">
        <v>3.85</v>
      </c>
      <c r="Q453" s="47"/>
    </row>
    <row r="454" customHeight="1" spans="1:17">
      <c r="A454" s="73">
        <v>18432</v>
      </c>
      <c r="B454" s="68" t="s">
        <v>92</v>
      </c>
      <c r="C454" s="70" t="s">
        <v>81</v>
      </c>
      <c r="D454" s="68">
        <v>33</v>
      </c>
      <c r="E454" s="70" t="s">
        <v>39</v>
      </c>
      <c r="F454" s="105">
        <v>1.85</v>
      </c>
      <c r="G454" s="77">
        <f t="shared" si="46"/>
        <v>61.05</v>
      </c>
      <c r="H454" s="68"/>
      <c r="I454" s="68"/>
      <c r="J454" s="131"/>
      <c r="K454" s="68"/>
      <c r="L454" s="68"/>
      <c r="M454" s="68"/>
      <c r="N454" s="68"/>
      <c r="O454" s="23">
        <v>420867</v>
      </c>
      <c r="P454" s="47">
        <v>6.77</v>
      </c>
      <c r="Q454" s="47"/>
    </row>
    <row r="455" customHeight="1" spans="1:17">
      <c r="A455" s="73">
        <v>19767</v>
      </c>
      <c r="B455" s="68" t="s">
        <v>100</v>
      </c>
      <c r="C455" s="70" t="s">
        <v>81</v>
      </c>
      <c r="D455" s="68">
        <v>6</v>
      </c>
      <c r="E455" s="70" t="s">
        <v>39</v>
      </c>
      <c r="F455" s="105">
        <v>2.22</v>
      </c>
      <c r="G455" s="77">
        <f t="shared" si="46"/>
        <v>13.32</v>
      </c>
      <c r="H455" s="68"/>
      <c r="I455" s="68"/>
      <c r="J455" s="131"/>
      <c r="K455" s="68"/>
      <c r="L455" s="68"/>
      <c r="M455" s="68"/>
      <c r="N455" s="68"/>
      <c r="O455" s="23">
        <v>420867</v>
      </c>
      <c r="P455" s="47">
        <v>1.08</v>
      </c>
      <c r="Q455" s="47"/>
    </row>
    <row r="456" customHeight="1" spans="1:17">
      <c r="A456" s="67">
        <v>8421</v>
      </c>
      <c r="B456" s="68" t="s">
        <v>76</v>
      </c>
      <c r="C456" s="70" t="s">
        <v>47</v>
      </c>
      <c r="D456" s="68">
        <v>12</v>
      </c>
      <c r="E456" s="70" t="s">
        <v>39</v>
      </c>
      <c r="F456" s="71">
        <v>0.9</v>
      </c>
      <c r="G456" s="71">
        <f t="shared" si="46"/>
        <v>10.8</v>
      </c>
      <c r="H456" s="68" t="s">
        <v>77</v>
      </c>
      <c r="I456" s="80">
        <v>13</v>
      </c>
      <c r="J456" s="80">
        <v>1</v>
      </c>
      <c r="K456" s="80">
        <v>0.975</v>
      </c>
      <c r="L456" s="80">
        <v>1.975</v>
      </c>
      <c r="M456" s="80">
        <f>L456*J456</f>
        <v>1.975</v>
      </c>
      <c r="N456" s="80" t="s">
        <v>79</v>
      </c>
      <c r="O456" s="75">
        <v>405398</v>
      </c>
      <c r="P456" s="72">
        <v>6</v>
      </c>
      <c r="Q456" s="72">
        <v>0.9</v>
      </c>
    </row>
    <row r="457" customHeight="1" spans="1:17">
      <c r="A457" s="67">
        <v>8421</v>
      </c>
      <c r="B457" s="68" t="s">
        <v>76</v>
      </c>
      <c r="C457" s="70" t="s">
        <v>47</v>
      </c>
      <c r="D457" s="68">
        <v>1</v>
      </c>
      <c r="E457" s="70" t="s">
        <v>39</v>
      </c>
      <c r="F457" s="71">
        <v>0.9</v>
      </c>
      <c r="G457" s="71">
        <f t="shared" si="46"/>
        <v>0.9</v>
      </c>
      <c r="H457" s="68">
        <v>111</v>
      </c>
      <c r="I457" s="79"/>
      <c r="J457" s="79"/>
      <c r="K457" s="79"/>
      <c r="L457" s="79"/>
      <c r="M457" s="79"/>
      <c r="N457" s="79"/>
      <c r="O457" s="75">
        <v>405398</v>
      </c>
      <c r="P457" s="72">
        <v>1</v>
      </c>
      <c r="Q457" s="72">
        <v>0.075</v>
      </c>
    </row>
    <row r="458" customHeight="1" spans="1:17">
      <c r="A458" s="67">
        <v>480</v>
      </c>
      <c r="B458" s="68" t="s">
        <v>37</v>
      </c>
      <c r="C458" s="69" t="s">
        <v>38</v>
      </c>
      <c r="D458" s="68">
        <v>290</v>
      </c>
      <c r="E458" s="70" t="s">
        <v>39</v>
      </c>
      <c r="F458" s="71">
        <v>0.08</v>
      </c>
      <c r="G458" s="71">
        <f t="shared" si="46"/>
        <v>23.2</v>
      </c>
      <c r="H458" s="68"/>
      <c r="I458" s="68">
        <v>290</v>
      </c>
      <c r="J458" s="68">
        <f>D458/I458</f>
        <v>1</v>
      </c>
      <c r="K458" s="68">
        <v>0.51</v>
      </c>
      <c r="L458" s="68">
        <v>1.51</v>
      </c>
      <c r="M458" s="68">
        <f>L458*J458</f>
        <v>1.51</v>
      </c>
      <c r="N458" s="68" t="s">
        <v>40</v>
      </c>
      <c r="O458" s="23">
        <v>405228</v>
      </c>
      <c r="P458" s="47"/>
      <c r="Q458" s="47"/>
    </row>
    <row r="459" customHeight="1" spans="1:17">
      <c r="A459" s="67" t="s">
        <v>41</v>
      </c>
      <c r="B459" s="68" t="s">
        <v>42</v>
      </c>
      <c r="C459" s="69" t="s">
        <v>38</v>
      </c>
      <c r="D459" s="68">
        <v>92</v>
      </c>
      <c r="E459" s="70" t="s">
        <v>39</v>
      </c>
      <c r="F459" s="71">
        <v>0.14</v>
      </c>
      <c r="G459" s="71">
        <f t="shared" si="46"/>
        <v>12.88</v>
      </c>
      <c r="H459" s="68"/>
      <c r="I459" s="68">
        <v>92</v>
      </c>
      <c r="J459" s="68">
        <f>D459/I459</f>
        <v>1</v>
      </c>
      <c r="K459" s="68">
        <v>9.6</v>
      </c>
      <c r="L459" s="68">
        <v>10.6</v>
      </c>
      <c r="M459" s="68">
        <f>L459*J459</f>
        <v>10.6</v>
      </c>
      <c r="N459" s="68" t="s">
        <v>40</v>
      </c>
      <c r="O459" s="23">
        <v>405228</v>
      </c>
      <c r="P459" s="47"/>
      <c r="Q459" s="47"/>
    </row>
    <row r="460" customHeight="1" spans="1:17">
      <c r="A460" s="73" t="s">
        <v>43</v>
      </c>
      <c r="B460" s="68" t="s">
        <v>44</v>
      </c>
      <c r="C460" s="70" t="s">
        <v>45</v>
      </c>
      <c r="D460" s="68">
        <v>943</v>
      </c>
      <c r="E460" s="70" t="s">
        <v>39</v>
      </c>
      <c r="F460" s="74">
        <v>0.04</v>
      </c>
      <c r="G460" s="71">
        <f t="shared" si="46"/>
        <v>37.72</v>
      </c>
      <c r="H460" s="68"/>
      <c r="I460" s="68">
        <v>943</v>
      </c>
      <c r="J460" s="68">
        <f>D460/I460</f>
        <v>1</v>
      </c>
      <c r="K460" s="68">
        <v>2.5</v>
      </c>
      <c r="L460" s="68">
        <v>3.5</v>
      </c>
      <c r="M460" s="68">
        <f>L460*J460</f>
        <v>3.5</v>
      </c>
      <c r="N460" s="68" t="s">
        <v>40</v>
      </c>
      <c r="O460" s="75">
        <v>405398</v>
      </c>
      <c r="P460" s="72"/>
      <c r="Q460" s="72"/>
    </row>
    <row r="461" customHeight="1" spans="1:17">
      <c r="A461" s="68"/>
      <c r="B461" s="73"/>
      <c r="C461" s="68"/>
      <c r="D461" s="68"/>
      <c r="E461" s="135" t="s">
        <v>242</v>
      </c>
      <c r="F461" s="136"/>
      <c r="G461" s="136"/>
      <c r="H461" s="136"/>
      <c r="I461" s="136"/>
      <c r="J461" s="136"/>
      <c r="K461" s="136"/>
      <c r="L461" s="136"/>
      <c r="M461" s="137"/>
      <c r="N461" s="125"/>
    </row>
    <row r="462" customHeight="1" spans="1:17">
      <c r="A462" s="68"/>
      <c r="B462" s="73"/>
      <c r="C462" s="68"/>
      <c r="D462" s="68"/>
      <c r="E462" s="138"/>
      <c r="F462" s="139"/>
      <c r="G462" s="139"/>
      <c r="H462" s="139"/>
      <c r="I462" s="139"/>
      <c r="J462" s="139"/>
      <c r="K462" s="139"/>
      <c r="L462" s="139"/>
      <c r="M462" s="140"/>
      <c r="N462" s="125"/>
    </row>
    <row r="463" customHeight="1" spans="1:17">
      <c r="A463" s="68"/>
      <c r="B463" s="73"/>
      <c r="C463" s="68"/>
      <c r="D463" s="68">
        <f>SUM(D399:D462)</f>
        <v>7616</v>
      </c>
      <c r="E463" s="68"/>
      <c r="F463" s="74"/>
      <c r="G463" s="74">
        <f>SUM(G399:G462)</f>
        <v>6986.6</v>
      </c>
      <c r="H463" s="141"/>
      <c r="I463" s="125"/>
      <c r="J463" s="126">
        <f>SUM(J399:J462)</f>
        <v>67</v>
      </c>
      <c r="K463" s="128"/>
      <c r="L463" s="128"/>
      <c r="M463" s="128">
        <f>SUM(M399:M462)</f>
        <v>904.785</v>
      </c>
      <c r="N463" s="125"/>
    </row>
    <row r="467" customHeight="1" spans="1:17">
      <c r="A467" s="67">
        <v>18178</v>
      </c>
      <c r="B467" s="68" t="s">
        <v>82</v>
      </c>
      <c r="C467" s="70" t="s">
        <v>81</v>
      </c>
      <c r="D467" s="68">
        <v>150</v>
      </c>
      <c r="E467" s="70" t="s">
        <v>39</v>
      </c>
      <c r="F467" s="71">
        <v>1.97</v>
      </c>
      <c r="G467" s="71">
        <f t="shared" ref="G467:G490" si="47">F467*D467</f>
        <v>295.5</v>
      </c>
      <c r="H467" s="68">
        <v>102</v>
      </c>
      <c r="I467" s="68">
        <v>50</v>
      </c>
      <c r="J467" s="131">
        <f>D467/I467</f>
        <v>3</v>
      </c>
      <c r="K467" s="68">
        <v>10.5</v>
      </c>
      <c r="L467" s="68">
        <v>11.8</v>
      </c>
      <c r="M467" s="68">
        <f>L467*J467</f>
        <v>35.4</v>
      </c>
      <c r="N467" s="68" t="s">
        <v>49</v>
      </c>
      <c r="O467" s="75">
        <v>405398</v>
      </c>
      <c r="P467" s="47"/>
      <c r="Q467" s="47"/>
    </row>
    <row r="468" customHeight="1" spans="1:17">
      <c r="A468" s="67">
        <v>18205</v>
      </c>
      <c r="B468" s="68" t="s">
        <v>83</v>
      </c>
      <c r="C468" s="70" t="s">
        <v>81</v>
      </c>
      <c r="D468" s="68">
        <v>150</v>
      </c>
      <c r="E468" s="70" t="s">
        <v>39</v>
      </c>
      <c r="F468" s="71">
        <v>2.48</v>
      </c>
      <c r="G468" s="71">
        <f t="shared" si="47"/>
        <v>372</v>
      </c>
      <c r="H468" s="68">
        <v>102</v>
      </c>
      <c r="I468" s="68">
        <v>50</v>
      </c>
      <c r="J468" s="131">
        <f>D468/I468</f>
        <v>3</v>
      </c>
      <c r="K468" s="68">
        <v>13.75</v>
      </c>
      <c r="L468" s="68">
        <v>15.05</v>
      </c>
      <c r="M468" s="68">
        <f>L468*J468</f>
        <v>45.15</v>
      </c>
      <c r="N468" s="68" t="s">
        <v>49</v>
      </c>
      <c r="O468" s="75">
        <v>405398</v>
      </c>
      <c r="P468" s="47"/>
      <c r="Q468" s="47"/>
    </row>
    <row r="469" customHeight="1" spans="1:17">
      <c r="A469" s="67">
        <v>18213</v>
      </c>
      <c r="B469" s="68" t="s">
        <v>84</v>
      </c>
      <c r="C469" s="70" t="s">
        <v>81</v>
      </c>
      <c r="D469" s="68">
        <v>100</v>
      </c>
      <c r="E469" s="70" t="s">
        <v>39</v>
      </c>
      <c r="F469" s="71">
        <v>2.48</v>
      </c>
      <c r="G469" s="71">
        <f t="shared" si="47"/>
        <v>248</v>
      </c>
      <c r="H469" s="68">
        <v>102</v>
      </c>
      <c r="I469" s="68">
        <v>50</v>
      </c>
      <c r="J469" s="131">
        <f>D469/I469</f>
        <v>2</v>
      </c>
      <c r="K469" s="68">
        <v>12.75</v>
      </c>
      <c r="L469" s="68">
        <v>14.05</v>
      </c>
      <c r="M469" s="68">
        <f>L469*J469</f>
        <v>28.1</v>
      </c>
      <c r="N469" s="68" t="s">
        <v>49</v>
      </c>
      <c r="O469" s="75">
        <v>405398</v>
      </c>
      <c r="P469" s="47"/>
      <c r="Q469" s="47"/>
    </row>
    <row r="470" customHeight="1" spans="1:17">
      <c r="A470" s="67">
        <v>18217</v>
      </c>
      <c r="B470" s="68" t="s">
        <v>85</v>
      </c>
      <c r="C470" s="70" t="s">
        <v>81</v>
      </c>
      <c r="D470" s="68">
        <v>40</v>
      </c>
      <c r="E470" s="70" t="s">
        <v>39</v>
      </c>
      <c r="F470" s="71">
        <v>2</v>
      </c>
      <c r="G470" s="71">
        <f t="shared" si="47"/>
        <v>80</v>
      </c>
      <c r="H470" s="68">
        <v>102</v>
      </c>
      <c r="I470" s="68">
        <v>40</v>
      </c>
      <c r="J470" s="131">
        <f t="shared" ref="J470:J477" si="48">D470/I470</f>
        <v>1</v>
      </c>
      <c r="K470" s="68">
        <v>10</v>
      </c>
      <c r="L470" s="68">
        <v>11</v>
      </c>
      <c r="M470" s="68">
        <f t="shared" ref="M470:M478" si="49">L470*J470</f>
        <v>11</v>
      </c>
      <c r="N470" s="68" t="s">
        <v>49</v>
      </c>
      <c r="O470" s="75">
        <v>405398</v>
      </c>
      <c r="P470" s="47"/>
      <c r="Q470" s="47"/>
    </row>
    <row r="471" customHeight="1" spans="1:17">
      <c r="A471" s="67">
        <v>18217</v>
      </c>
      <c r="B471" s="68" t="s">
        <v>85</v>
      </c>
      <c r="C471" s="70" t="s">
        <v>81</v>
      </c>
      <c r="D471" s="68">
        <v>700</v>
      </c>
      <c r="E471" s="70" t="s">
        <v>39</v>
      </c>
      <c r="F471" s="71">
        <v>2</v>
      </c>
      <c r="G471" s="71">
        <f t="shared" si="47"/>
        <v>1400</v>
      </c>
      <c r="H471" s="68">
        <v>102</v>
      </c>
      <c r="I471" s="68">
        <v>50</v>
      </c>
      <c r="J471" s="131">
        <f t="shared" si="48"/>
        <v>14</v>
      </c>
      <c r="K471" s="68">
        <v>12.5</v>
      </c>
      <c r="L471" s="68">
        <v>13.8</v>
      </c>
      <c r="M471" s="68">
        <f t="shared" si="49"/>
        <v>193.2</v>
      </c>
      <c r="N471" s="68" t="s">
        <v>49</v>
      </c>
      <c r="O471" s="75">
        <v>405398</v>
      </c>
      <c r="P471" s="47"/>
      <c r="Q471" s="47"/>
    </row>
    <row r="472" customHeight="1" spans="1:17">
      <c r="A472" s="67">
        <v>18219</v>
      </c>
      <c r="B472" s="68" t="s">
        <v>86</v>
      </c>
      <c r="C472" s="70" t="s">
        <v>81</v>
      </c>
      <c r="D472" s="68">
        <v>250</v>
      </c>
      <c r="E472" s="70" t="s">
        <v>39</v>
      </c>
      <c r="F472" s="71">
        <v>2</v>
      </c>
      <c r="G472" s="71">
        <f t="shared" si="47"/>
        <v>500</v>
      </c>
      <c r="H472" s="68">
        <v>102</v>
      </c>
      <c r="I472" s="68">
        <v>50</v>
      </c>
      <c r="J472" s="131">
        <f t="shared" si="48"/>
        <v>5</v>
      </c>
      <c r="K472" s="68">
        <v>13.5</v>
      </c>
      <c r="L472" s="68">
        <v>14.8</v>
      </c>
      <c r="M472" s="68">
        <f t="shared" si="49"/>
        <v>74</v>
      </c>
      <c r="N472" s="68" t="s">
        <v>49</v>
      </c>
      <c r="O472" s="75">
        <v>405398</v>
      </c>
      <c r="P472" s="47"/>
      <c r="Q472" s="47"/>
    </row>
    <row r="473" customHeight="1" spans="1:17">
      <c r="A473" s="89">
        <v>18221</v>
      </c>
      <c r="B473" s="90" t="s">
        <v>87</v>
      </c>
      <c r="C473" s="70" t="s">
        <v>81</v>
      </c>
      <c r="D473" s="90">
        <v>100</v>
      </c>
      <c r="E473" s="70" t="s">
        <v>39</v>
      </c>
      <c r="F473" s="71">
        <v>2.3</v>
      </c>
      <c r="G473" s="71">
        <f t="shared" si="47"/>
        <v>230</v>
      </c>
      <c r="H473" s="90">
        <v>102</v>
      </c>
      <c r="I473" s="90">
        <v>50</v>
      </c>
      <c r="J473" s="131">
        <f t="shared" si="48"/>
        <v>2</v>
      </c>
      <c r="K473" s="90">
        <v>13.5</v>
      </c>
      <c r="L473" s="90">
        <v>14.8</v>
      </c>
      <c r="M473" s="68">
        <f t="shared" si="49"/>
        <v>29.6</v>
      </c>
      <c r="N473" s="90" t="s">
        <v>49</v>
      </c>
      <c r="O473" s="75">
        <v>405398</v>
      </c>
      <c r="P473" s="47"/>
      <c r="Q473" s="47"/>
    </row>
    <row r="474" customHeight="1" spans="1:17">
      <c r="A474" s="67">
        <v>18223</v>
      </c>
      <c r="B474" s="68" t="s">
        <v>88</v>
      </c>
      <c r="C474" s="70" t="s">
        <v>81</v>
      </c>
      <c r="D474" s="68">
        <v>150</v>
      </c>
      <c r="E474" s="70" t="s">
        <v>39</v>
      </c>
      <c r="F474" s="71">
        <v>1.8</v>
      </c>
      <c r="G474" s="71">
        <f t="shared" si="47"/>
        <v>270</v>
      </c>
      <c r="H474" s="68">
        <v>102</v>
      </c>
      <c r="I474" s="68">
        <v>50</v>
      </c>
      <c r="J474" s="142">
        <f t="shared" si="48"/>
        <v>3</v>
      </c>
      <c r="K474" s="68">
        <v>9</v>
      </c>
      <c r="L474" s="68">
        <v>10.3</v>
      </c>
      <c r="M474" s="68">
        <f t="shared" si="49"/>
        <v>30.9</v>
      </c>
      <c r="N474" s="68" t="s">
        <v>49</v>
      </c>
      <c r="O474" s="75">
        <v>405398</v>
      </c>
      <c r="P474" s="47"/>
      <c r="Q474" s="47"/>
    </row>
    <row r="475" customHeight="1" spans="1:17">
      <c r="A475" s="91">
        <v>18305</v>
      </c>
      <c r="B475" s="80" t="s">
        <v>89</v>
      </c>
      <c r="C475" s="70" t="s">
        <v>81</v>
      </c>
      <c r="D475" s="80">
        <v>450</v>
      </c>
      <c r="E475" s="92" t="s">
        <v>39</v>
      </c>
      <c r="F475" s="93">
        <v>2.1</v>
      </c>
      <c r="G475" s="71">
        <f t="shared" si="47"/>
        <v>945</v>
      </c>
      <c r="H475" s="68">
        <v>102</v>
      </c>
      <c r="I475" s="68">
        <v>50</v>
      </c>
      <c r="J475" s="131">
        <f t="shared" si="48"/>
        <v>9</v>
      </c>
      <c r="K475" s="68">
        <v>11.25</v>
      </c>
      <c r="L475" s="68">
        <v>12.55</v>
      </c>
      <c r="M475" s="68">
        <f t="shared" si="49"/>
        <v>112.95</v>
      </c>
      <c r="N475" s="68" t="s">
        <v>49</v>
      </c>
      <c r="O475" s="75">
        <v>405398</v>
      </c>
      <c r="P475" s="47"/>
      <c r="Q475" s="47"/>
    </row>
    <row r="476" customHeight="1" spans="1:17">
      <c r="A476" s="73">
        <v>18375</v>
      </c>
      <c r="B476" s="68" t="s">
        <v>90</v>
      </c>
      <c r="C476" s="70" t="s">
        <v>81</v>
      </c>
      <c r="D476" s="68">
        <v>50</v>
      </c>
      <c r="E476" s="92" t="s">
        <v>39</v>
      </c>
      <c r="F476" s="74">
        <v>2.54</v>
      </c>
      <c r="G476" s="71">
        <f t="shared" si="47"/>
        <v>127</v>
      </c>
      <c r="H476" s="68">
        <v>102</v>
      </c>
      <c r="I476" s="68">
        <v>50</v>
      </c>
      <c r="J476" s="142">
        <f t="shared" si="48"/>
        <v>1</v>
      </c>
      <c r="K476" s="68">
        <v>12.09</v>
      </c>
      <c r="L476" s="68">
        <v>13.39</v>
      </c>
      <c r="M476" s="68">
        <f t="shared" si="49"/>
        <v>13.39</v>
      </c>
      <c r="N476" s="68" t="s">
        <v>49</v>
      </c>
      <c r="O476" s="75">
        <v>405398</v>
      </c>
      <c r="P476" s="47"/>
      <c r="Q476" s="94"/>
    </row>
    <row r="477" customHeight="1" spans="1:17">
      <c r="A477" s="84">
        <v>18379</v>
      </c>
      <c r="B477" s="79" t="s">
        <v>91</v>
      </c>
      <c r="C477" s="70" t="s">
        <v>81</v>
      </c>
      <c r="D477" s="79">
        <v>200</v>
      </c>
      <c r="E477" s="92" t="s">
        <v>39</v>
      </c>
      <c r="F477" s="74">
        <v>2.38</v>
      </c>
      <c r="G477" s="71">
        <f t="shared" si="47"/>
        <v>476</v>
      </c>
      <c r="H477" s="68">
        <v>102</v>
      </c>
      <c r="I477" s="68">
        <v>50</v>
      </c>
      <c r="J477" s="142">
        <f t="shared" si="48"/>
        <v>4</v>
      </c>
      <c r="K477" s="68">
        <v>14</v>
      </c>
      <c r="L477" s="68">
        <v>15.3</v>
      </c>
      <c r="M477" s="68">
        <f t="shared" si="49"/>
        <v>61.2</v>
      </c>
      <c r="N477" s="68" t="s">
        <v>49</v>
      </c>
      <c r="O477" s="75">
        <v>405398</v>
      </c>
      <c r="P477" s="47"/>
      <c r="Q477" s="82"/>
    </row>
    <row r="478" customHeight="1" spans="1:17">
      <c r="A478" s="67">
        <v>18205</v>
      </c>
      <c r="B478" s="68" t="s">
        <v>83</v>
      </c>
      <c r="C478" s="70" t="s">
        <v>81</v>
      </c>
      <c r="D478" s="68">
        <v>49</v>
      </c>
      <c r="E478" s="70" t="s">
        <v>39</v>
      </c>
      <c r="F478" s="71">
        <v>2.48</v>
      </c>
      <c r="G478" s="71">
        <f t="shared" si="47"/>
        <v>121.52</v>
      </c>
      <c r="H478" s="80">
        <v>102</v>
      </c>
      <c r="I478" s="80">
        <v>50</v>
      </c>
      <c r="J478" s="143">
        <v>1</v>
      </c>
      <c r="K478" s="80">
        <v>13.6</v>
      </c>
      <c r="L478" s="80">
        <v>14.6</v>
      </c>
      <c r="M478" s="80">
        <f t="shared" si="49"/>
        <v>14.6</v>
      </c>
      <c r="N478" s="80" t="s">
        <v>49</v>
      </c>
      <c r="O478" s="75">
        <v>405398</v>
      </c>
      <c r="P478" s="47">
        <v>13.475</v>
      </c>
      <c r="Q478" s="47"/>
    </row>
    <row r="479" customHeight="1" spans="1:17">
      <c r="A479" s="67">
        <v>18178</v>
      </c>
      <c r="B479" s="68" t="s">
        <v>82</v>
      </c>
      <c r="C479" s="70" t="s">
        <v>81</v>
      </c>
      <c r="D479" s="68">
        <v>1</v>
      </c>
      <c r="E479" s="70" t="s">
        <v>39</v>
      </c>
      <c r="F479" s="71">
        <v>1.97</v>
      </c>
      <c r="G479" s="71">
        <f t="shared" si="47"/>
        <v>1.97</v>
      </c>
      <c r="H479" s="79"/>
      <c r="I479" s="79"/>
      <c r="J479" s="144"/>
      <c r="K479" s="79"/>
      <c r="L479" s="79"/>
      <c r="M479" s="79"/>
      <c r="N479" s="79"/>
      <c r="O479" s="75">
        <v>405398</v>
      </c>
      <c r="P479" s="47">
        <v>0.21</v>
      </c>
      <c r="Q479" s="82"/>
    </row>
    <row r="480" customHeight="1" spans="1:17">
      <c r="A480" s="67">
        <v>18213</v>
      </c>
      <c r="B480" s="68" t="s">
        <v>84</v>
      </c>
      <c r="C480" s="70" t="s">
        <v>81</v>
      </c>
      <c r="D480" s="68">
        <v>38</v>
      </c>
      <c r="E480" s="70" t="s">
        <v>39</v>
      </c>
      <c r="F480" s="71">
        <v>2.48</v>
      </c>
      <c r="G480" s="71">
        <f t="shared" si="47"/>
        <v>94.24</v>
      </c>
      <c r="H480" s="80">
        <v>102</v>
      </c>
      <c r="I480" s="80">
        <v>50</v>
      </c>
      <c r="J480" s="145">
        <v>1</v>
      </c>
      <c r="K480" s="80">
        <v>12.15</v>
      </c>
      <c r="L480" s="80">
        <v>13.15</v>
      </c>
      <c r="M480" s="80">
        <f t="shared" ref="M480:M484" si="50">L480*J480</f>
        <v>13.15</v>
      </c>
      <c r="N480" s="80" t="s">
        <v>49</v>
      </c>
      <c r="O480" s="75">
        <v>405398</v>
      </c>
      <c r="P480" s="47">
        <v>9.69</v>
      </c>
      <c r="Q480" s="47"/>
    </row>
    <row r="481" customHeight="1" spans="1:17">
      <c r="A481" s="67">
        <v>18432</v>
      </c>
      <c r="B481" s="68" t="s">
        <v>92</v>
      </c>
      <c r="C481" s="70" t="s">
        <v>81</v>
      </c>
      <c r="D481" s="68">
        <v>12</v>
      </c>
      <c r="E481" s="70" t="s">
        <v>39</v>
      </c>
      <c r="F481" s="71">
        <v>1.85</v>
      </c>
      <c r="G481" s="71">
        <f t="shared" si="47"/>
        <v>22.2</v>
      </c>
      <c r="H481" s="79"/>
      <c r="I481" s="79"/>
      <c r="J481" s="146"/>
      <c r="K481" s="79"/>
      <c r="L481" s="79"/>
      <c r="M481" s="79"/>
      <c r="N481" s="79"/>
      <c r="O481" s="75">
        <v>405398</v>
      </c>
      <c r="P481" s="47">
        <v>2.46</v>
      </c>
      <c r="Q481" s="47"/>
    </row>
    <row r="482" customHeight="1" spans="1:17">
      <c r="A482" s="73">
        <v>18223</v>
      </c>
      <c r="B482" s="68" t="s">
        <v>88</v>
      </c>
      <c r="C482" s="70" t="s">
        <v>81</v>
      </c>
      <c r="D482" s="68">
        <v>35</v>
      </c>
      <c r="E482" s="70" t="s">
        <v>39</v>
      </c>
      <c r="F482" s="74">
        <v>1.8</v>
      </c>
      <c r="G482" s="74">
        <f t="shared" si="47"/>
        <v>63</v>
      </c>
      <c r="H482" s="68">
        <v>102</v>
      </c>
      <c r="I482" s="68">
        <v>50</v>
      </c>
      <c r="J482" s="147">
        <v>1</v>
      </c>
      <c r="K482" s="68">
        <v>11.64</v>
      </c>
      <c r="L482" s="68">
        <v>12.64</v>
      </c>
      <c r="M482" s="68">
        <f t="shared" si="50"/>
        <v>12.64</v>
      </c>
      <c r="N482" s="68" t="s">
        <v>49</v>
      </c>
      <c r="O482" s="75">
        <v>405398</v>
      </c>
      <c r="P482" s="47">
        <v>6.3</v>
      </c>
      <c r="Q482" s="47"/>
    </row>
    <row r="483" customHeight="1" spans="1:17">
      <c r="A483" s="73">
        <v>18775</v>
      </c>
      <c r="B483" s="68" t="s">
        <v>93</v>
      </c>
      <c r="C483" s="70" t="s">
        <v>81</v>
      </c>
      <c r="D483" s="68">
        <v>15</v>
      </c>
      <c r="E483" s="70" t="s">
        <v>39</v>
      </c>
      <c r="F483" s="74">
        <v>3.39</v>
      </c>
      <c r="G483" s="74">
        <f t="shared" si="47"/>
        <v>50.85</v>
      </c>
      <c r="H483" s="68"/>
      <c r="I483" s="68"/>
      <c r="J483" s="147"/>
      <c r="K483" s="68"/>
      <c r="L483" s="68"/>
      <c r="M483" s="68"/>
      <c r="N483" s="68"/>
      <c r="O483" s="75">
        <v>405398</v>
      </c>
      <c r="P483" s="47">
        <v>5.34</v>
      </c>
      <c r="Q483" s="47"/>
    </row>
    <row r="484" customHeight="1" spans="1:17">
      <c r="A484" s="73">
        <v>18466</v>
      </c>
      <c r="B484" s="68" t="s">
        <v>94</v>
      </c>
      <c r="C484" s="70" t="s">
        <v>81</v>
      </c>
      <c r="D484" s="68">
        <v>30</v>
      </c>
      <c r="E484" s="70" t="s">
        <v>39</v>
      </c>
      <c r="F484" s="74">
        <v>3.6</v>
      </c>
      <c r="G484" s="74">
        <f t="shared" si="47"/>
        <v>108</v>
      </c>
      <c r="H484" s="68">
        <v>102</v>
      </c>
      <c r="I484" s="68">
        <v>50</v>
      </c>
      <c r="J484" s="147">
        <v>1</v>
      </c>
      <c r="K484" s="68">
        <v>15</v>
      </c>
      <c r="L484" s="68">
        <v>16</v>
      </c>
      <c r="M484" s="68">
        <f t="shared" si="50"/>
        <v>16</v>
      </c>
      <c r="N484" s="68" t="s">
        <v>49</v>
      </c>
      <c r="O484" s="75">
        <v>405398</v>
      </c>
      <c r="P484" s="47">
        <v>9.9</v>
      </c>
      <c r="Q484" s="47"/>
    </row>
    <row r="485" customHeight="1" spans="1:17">
      <c r="A485" s="73">
        <v>18260</v>
      </c>
      <c r="B485" s="68" t="s">
        <v>95</v>
      </c>
      <c r="C485" s="70" t="s">
        <v>81</v>
      </c>
      <c r="D485" s="68">
        <v>20</v>
      </c>
      <c r="E485" s="70" t="s">
        <v>39</v>
      </c>
      <c r="F485" s="74">
        <v>2.65</v>
      </c>
      <c r="G485" s="74">
        <f t="shared" si="47"/>
        <v>53</v>
      </c>
      <c r="H485" s="68"/>
      <c r="I485" s="68"/>
      <c r="J485" s="147"/>
      <c r="K485" s="68"/>
      <c r="L485" s="68"/>
      <c r="M485" s="68"/>
      <c r="N485" s="68"/>
      <c r="O485" s="75">
        <v>405398</v>
      </c>
      <c r="P485" s="47">
        <v>5.1</v>
      </c>
      <c r="Q485" s="47"/>
    </row>
    <row r="486" customHeight="1" spans="1:17">
      <c r="A486" s="73">
        <v>19533</v>
      </c>
      <c r="B486" s="68" t="s">
        <v>102</v>
      </c>
      <c r="C486" s="70" t="s">
        <v>81</v>
      </c>
      <c r="D486" s="68">
        <v>3</v>
      </c>
      <c r="E486" s="70" t="s">
        <v>39</v>
      </c>
      <c r="F486" s="105">
        <v>2.5</v>
      </c>
      <c r="G486" s="77">
        <f t="shared" si="47"/>
        <v>7.5</v>
      </c>
      <c r="H486" s="68">
        <v>102</v>
      </c>
      <c r="I486" s="68">
        <v>8</v>
      </c>
      <c r="J486" s="68">
        <v>1</v>
      </c>
      <c r="K486" s="68">
        <v>2.6</v>
      </c>
      <c r="L486" s="68">
        <v>3.6</v>
      </c>
      <c r="M486" s="68">
        <f>L486*J486</f>
        <v>3.6</v>
      </c>
      <c r="N486" s="68" t="s">
        <v>79</v>
      </c>
      <c r="O486" s="23">
        <v>420867</v>
      </c>
      <c r="P486" s="47">
        <v>0.92</v>
      </c>
      <c r="Q486" s="47"/>
    </row>
    <row r="487" customHeight="1" spans="1:17">
      <c r="A487" s="73">
        <v>18208</v>
      </c>
      <c r="B487" s="68" t="s">
        <v>106</v>
      </c>
      <c r="C487" s="70" t="s">
        <v>81</v>
      </c>
      <c r="D487" s="68">
        <v>5</v>
      </c>
      <c r="E487" s="70" t="s">
        <v>39</v>
      </c>
      <c r="F487" s="105">
        <v>2.35</v>
      </c>
      <c r="G487" s="77">
        <f t="shared" si="47"/>
        <v>11.75</v>
      </c>
      <c r="H487" s="68">
        <v>111</v>
      </c>
      <c r="I487" s="68"/>
      <c r="J487" s="68"/>
      <c r="K487" s="68"/>
      <c r="L487" s="68"/>
      <c r="M487" s="68"/>
      <c r="N487" s="68"/>
      <c r="O487" s="23">
        <v>420867</v>
      </c>
      <c r="P487" s="47">
        <v>1.68</v>
      </c>
      <c r="Q487" s="47"/>
    </row>
    <row r="488" customHeight="1" spans="1:17">
      <c r="A488" s="73">
        <v>18621</v>
      </c>
      <c r="B488" s="68" t="s">
        <v>117</v>
      </c>
      <c r="C488" s="70" t="s">
        <v>81</v>
      </c>
      <c r="D488" s="68">
        <v>8</v>
      </c>
      <c r="E488" s="70" t="s">
        <v>39</v>
      </c>
      <c r="F488" s="105">
        <v>3.8</v>
      </c>
      <c r="G488" s="77">
        <f t="shared" si="47"/>
        <v>30.4</v>
      </c>
      <c r="H488" s="68">
        <v>105</v>
      </c>
      <c r="I488" s="68">
        <v>8</v>
      </c>
      <c r="J488" s="68">
        <f>D488/I488</f>
        <v>1</v>
      </c>
      <c r="K488" s="68">
        <v>5</v>
      </c>
      <c r="L488" s="68">
        <v>6</v>
      </c>
      <c r="M488" s="68">
        <f>L488*J488</f>
        <v>6</v>
      </c>
      <c r="N488" s="68" t="s">
        <v>79</v>
      </c>
      <c r="O488" s="23">
        <v>420867</v>
      </c>
      <c r="P488" s="47"/>
      <c r="Q488" s="47"/>
    </row>
    <row r="489" customHeight="1" spans="1:17">
      <c r="A489" s="73">
        <v>18559</v>
      </c>
      <c r="B489" s="68" t="s">
        <v>130</v>
      </c>
      <c r="C489" s="70" t="s">
        <v>81</v>
      </c>
      <c r="D489" s="68">
        <v>120</v>
      </c>
      <c r="E489" s="70" t="s">
        <v>39</v>
      </c>
      <c r="F489" s="74">
        <v>8.7</v>
      </c>
      <c r="G489" s="74">
        <f t="shared" si="47"/>
        <v>1044</v>
      </c>
      <c r="H489" s="68">
        <v>106</v>
      </c>
      <c r="I489" s="68">
        <v>20</v>
      </c>
      <c r="J489" s="147">
        <f>D489/I489</f>
        <v>6</v>
      </c>
      <c r="K489" s="68">
        <v>22.8</v>
      </c>
      <c r="L489" s="68">
        <v>24.3</v>
      </c>
      <c r="M489" s="68">
        <f>L489*J489</f>
        <v>145.8</v>
      </c>
      <c r="N489" s="68" t="s">
        <v>131</v>
      </c>
      <c r="O489" s="75">
        <v>405398</v>
      </c>
      <c r="P489" s="47"/>
      <c r="Q489" s="47"/>
    </row>
    <row r="490" customHeight="1" spans="1:17">
      <c r="A490" s="73">
        <v>18783</v>
      </c>
      <c r="B490" s="68" t="s">
        <v>137</v>
      </c>
      <c r="C490" s="70" t="s">
        <v>81</v>
      </c>
      <c r="D490" s="68">
        <v>75</v>
      </c>
      <c r="E490" s="70" t="s">
        <v>39</v>
      </c>
      <c r="F490" s="74">
        <v>3.47</v>
      </c>
      <c r="G490" s="74">
        <f t="shared" si="47"/>
        <v>260.25</v>
      </c>
      <c r="H490" s="68">
        <v>106</v>
      </c>
      <c r="I490" s="68">
        <v>25</v>
      </c>
      <c r="J490" s="147">
        <f>D490/I490</f>
        <v>3</v>
      </c>
      <c r="K490" s="68">
        <v>14.13</v>
      </c>
      <c r="L490" s="68">
        <v>15.6</v>
      </c>
      <c r="M490" s="68">
        <f>L490*J490</f>
        <v>46.8</v>
      </c>
      <c r="N490" s="68" t="s">
        <v>129</v>
      </c>
      <c r="O490" s="75">
        <v>405398</v>
      </c>
      <c r="P490" s="47"/>
      <c r="Q490" s="47"/>
    </row>
    <row r="491" customHeight="1" spans="1:17">
      <c r="A491" s="68"/>
      <c r="B491" s="73"/>
      <c r="C491" s="68"/>
      <c r="D491" s="68"/>
      <c r="E491" s="148" t="s">
        <v>243</v>
      </c>
      <c r="F491" s="136"/>
      <c r="G491" s="136"/>
      <c r="H491" s="136"/>
      <c r="I491" s="136"/>
      <c r="J491" s="136"/>
      <c r="K491" s="136"/>
      <c r="L491" s="136"/>
      <c r="M491" s="137"/>
      <c r="N491" s="125"/>
    </row>
    <row r="492" customHeight="1" spans="1:17">
      <c r="A492" s="68"/>
      <c r="B492" s="73"/>
      <c r="C492" s="68"/>
      <c r="D492" s="68"/>
      <c r="E492" s="138"/>
      <c r="F492" s="139"/>
      <c r="G492" s="139"/>
      <c r="H492" s="139"/>
      <c r="I492" s="139"/>
      <c r="J492" s="139"/>
      <c r="K492" s="139"/>
      <c r="L492" s="139"/>
      <c r="M492" s="140"/>
      <c r="N492" s="125"/>
    </row>
    <row r="493" customHeight="1" spans="1:17">
      <c r="A493" s="68"/>
      <c r="B493" s="73"/>
      <c r="C493" s="68"/>
      <c r="D493" s="68">
        <f>SUM(D467:D492)</f>
        <v>2751</v>
      </c>
      <c r="E493" s="68"/>
      <c r="F493" s="74"/>
      <c r="G493" s="74">
        <f>SUM(G467:G492)</f>
        <v>6812.18</v>
      </c>
      <c r="H493" s="141"/>
      <c r="I493" s="125"/>
      <c r="J493" s="126">
        <f>SUM(J467:J492)</f>
        <v>62</v>
      </c>
      <c r="K493" s="128"/>
      <c r="L493" s="128"/>
      <c r="M493" s="128">
        <f>SUM(M467:M492)</f>
        <v>893.48</v>
      </c>
      <c r="N493" s="125"/>
    </row>
    <row r="497" customHeight="1" spans="1:17">
      <c r="A497" s="73">
        <v>18106</v>
      </c>
      <c r="B497" s="68" t="s">
        <v>128</v>
      </c>
      <c r="C497" s="70" t="s">
        <v>81</v>
      </c>
      <c r="D497" s="68">
        <v>75</v>
      </c>
      <c r="E497" s="70" t="s">
        <v>39</v>
      </c>
      <c r="F497" s="74">
        <v>8.41</v>
      </c>
      <c r="G497" s="74">
        <f>F497*D497</f>
        <v>630.75</v>
      </c>
      <c r="H497" s="68">
        <v>106</v>
      </c>
      <c r="I497" s="68">
        <v>25</v>
      </c>
      <c r="J497" s="142">
        <f>D497/I497</f>
        <v>3</v>
      </c>
      <c r="K497" s="68">
        <v>24.12</v>
      </c>
      <c r="L497" s="68">
        <v>25.6</v>
      </c>
      <c r="M497" s="68">
        <f>L497*J497</f>
        <v>76.8</v>
      </c>
      <c r="N497" s="68" t="s">
        <v>129</v>
      </c>
      <c r="O497" s="75">
        <v>405398</v>
      </c>
      <c r="P497" s="47"/>
      <c r="Q497" s="47"/>
    </row>
    <row r="498" customHeight="1" spans="1:17">
      <c r="A498" s="73">
        <v>18561</v>
      </c>
      <c r="B498" s="68" t="s">
        <v>132</v>
      </c>
      <c r="C498" s="70" t="s">
        <v>81</v>
      </c>
      <c r="D498" s="68">
        <v>100</v>
      </c>
      <c r="E498" s="70" t="s">
        <v>39</v>
      </c>
      <c r="F498" s="74">
        <v>5.63</v>
      </c>
      <c r="G498" s="74">
        <f>F498*D498</f>
        <v>563</v>
      </c>
      <c r="H498" s="68">
        <v>106</v>
      </c>
      <c r="I498" s="68">
        <v>25</v>
      </c>
      <c r="J498" s="142">
        <f>D498/I498</f>
        <v>4</v>
      </c>
      <c r="K498" s="68">
        <v>20.75</v>
      </c>
      <c r="L498" s="68">
        <v>22.3</v>
      </c>
      <c r="M498" s="68">
        <f>L498*J498</f>
        <v>89.2</v>
      </c>
      <c r="N498" s="68" t="s">
        <v>129</v>
      </c>
      <c r="O498" s="75">
        <v>405398</v>
      </c>
      <c r="P498" s="47"/>
      <c r="Q498" s="47"/>
    </row>
    <row r="499" customHeight="1" spans="1:17">
      <c r="A499" s="73">
        <v>18586</v>
      </c>
      <c r="B499" s="68" t="s">
        <v>133</v>
      </c>
      <c r="C499" s="70" t="s">
        <v>81</v>
      </c>
      <c r="D499" s="68">
        <v>325</v>
      </c>
      <c r="E499" s="70" t="s">
        <v>39</v>
      </c>
      <c r="F499" s="74">
        <v>5.33</v>
      </c>
      <c r="G499" s="74">
        <f>F499*D499</f>
        <v>1732.25</v>
      </c>
      <c r="H499" s="68">
        <v>106</v>
      </c>
      <c r="I499" s="68">
        <v>25</v>
      </c>
      <c r="J499" s="142">
        <f>D499/I499</f>
        <v>13</v>
      </c>
      <c r="K499" s="68">
        <v>19.25</v>
      </c>
      <c r="L499" s="68">
        <v>20.75</v>
      </c>
      <c r="M499" s="68">
        <f>L499*J499</f>
        <v>269.75</v>
      </c>
      <c r="N499" s="68" t="s">
        <v>129</v>
      </c>
      <c r="O499" s="75">
        <v>405398</v>
      </c>
      <c r="P499" s="47"/>
      <c r="Q499" s="47"/>
    </row>
    <row r="500" customHeight="1" spans="1:17">
      <c r="A500" s="100">
        <v>18648</v>
      </c>
      <c r="B500" s="68" t="s">
        <v>135</v>
      </c>
      <c r="C500" s="70" t="s">
        <v>81</v>
      </c>
      <c r="D500" s="68">
        <v>400</v>
      </c>
      <c r="E500" s="70" t="s">
        <v>39</v>
      </c>
      <c r="F500" s="74">
        <v>8.55</v>
      </c>
      <c r="G500" s="74">
        <f>F500*D500</f>
        <v>3420</v>
      </c>
      <c r="H500" s="68">
        <v>106</v>
      </c>
      <c r="I500" s="68">
        <v>25</v>
      </c>
      <c r="J500" s="142">
        <f>D500/I500</f>
        <v>16</v>
      </c>
      <c r="K500" s="68">
        <v>26.12</v>
      </c>
      <c r="L500" s="68">
        <v>27.6</v>
      </c>
      <c r="M500" s="68">
        <f>L500*J500</f>
        <v>441.6</v>
      </c>
      <c r="N500" s="68" t="s">
        <v>129</v>
      </c>
      <c r="O500" s="75">
        <v>405398</v>
      </c>
      <c r="P500" s="47"/>
      <c r="Q500" s="5"/>
    </row>
    <row r="501" customHeight="1" spans="1:17">
      <c r="A501" s="68"/>
      <c r="B501" s="73"/>
      <c r="C501" s="68"/>
      <c r="D501" s="68"/>
      <c r="E501" s="148" t="s">
        <v>244</v>
      </c>
      <c r="F501" s="136"/>
      <c r="G501" s="136"/>
      <c r="H501" s="136"/>
      <c r="I501" s="136"/>
      <c r="J501" s="136"/>
      <c r="K501" s="136"/>
      <c r="L501" s="136"/>
      <c r="M501" s="137"/>
      <c r="N501" s="125"/>
    </row>
    <row r="502" customHeight="1" spans="1:17">
      <c r="A502" s="68"/>
      <c r="B502" s="73"/>
      <c r="C502" s="68"/>
      <c r="D502" s="68"/>
      <c r="E502" s="138"/>
      <c r="F502" s="139"/>
      <c r="G502" s="139"/>
      <c r="H502" s="139"/>
      <c r="I502" s="139"/>
      <c r="J502" s="139"/>
      <c r="K502" s="139"/>
      <c r="L502" s="139"/>
      <c r="M502" s="140"/>
      <c r="N502" s="125"/>
    </row>
    <row r="503" customHeight="1" spans="1:17">
      <c r="A503" s="68"/>
      <c r="B503" s="73"/>
      <c r="C503" s="68"/>
      <c r="D503" s="68">
        <f>SUM(D497:D502)</f>
        <v>900</v>
      </c>
      <c r="E503" s="68"/>
      <c r="F503" s="74"/>
      <c r="G503" s="74">
        <f>SUM(G497:G502)</f>
        <v>6346</v>
      </c>
      <c r="H503" s="141"/>
      <c r="I503" s="125"/>
      <c r="J503" s="126">
        <f>SUM(J497:J502)</f>
        <v>36</v>
      </c>
      <c r="K503" s="128"/>
      <c r="L503" s="128"/>
      <c r="M503" s="128">
        <f>SUM(M497:M502)</f>
        <v>877.35</v>
      </c>
      <c r="N503" s="125"/>
    </row>
    <row r="507" customHeight="1" spans="1:17">
      <c r="A507" s="73">
        <v>18718</v>
      </c>
      <c r="B507" s="68" t="s">
        <v>136</v>
      </c>
      <c r="C507" s="70" t="s">
        <v>81</v>
      </c>
      <c r="D507" s="68">
        <v>25</v>
      </c>
      <c r="E507" s="70" t="s">
        <v>39</v>
      </c>
      <c r="F507" s="74">
        <v>11.88</v>
      </c>
      <c r="G507" s="74">
        <f t="shared" ref="G507:G524" si="51">F507*D507</f>
        <v>297</v>
      </c>
      <c r="H507" s="68">
        <v>106</v>
      </c>
      <c r="I507" s="68">
        <v>25</v>
      </c>
      <c r="J507" s="142">
        <f>D507/I507</f>
        <v>1</v>
      </c>
      <c r="K507" s="68">
        <v>18.25</v>
      </c>
      <c r="L507" s="68">
        <v>19.75</v>
      </c>
      <c r="M507" s="68">
        <f>L507*J507</f>
        <v>19.75</v>
      </c>
      <c r="N507" s="68" t="s">
        <v>129</v>
      </c>
      <c r="O507" s="75">
        <v>405398</v>
      </c>
      <c r="P507" s="47"/>
      <c r="Q507" s="47"/>
    </row>
    <row r="508" customHeight="1" spans="1:17">
      <c r="A508" s="73">
        <v>18949</v>
      </c>
      <c r="B508" s="68" t="s">
        <v>139</v>
      </c>
      <c r="C508" s="70" t="s">
        <v>81</v>
      </c>
      <c r="D508" s="68">
        <v>250</v>
      </c>
      <c r="E508" s="70" t="s">
        <v>39</v>
      </c>
      <c r="F508" s="74">
        <v>7.7</v>
      </c>
      <c r="G508" s="74">
        <f t="shared" si="51"/>
        <v>1925</v>
      </c>
      <c r="H508" s="68">
        <v>106</v>
      </c>
      <c r="I508" s="68">
        <v>25</v>
      </c>
      <c r="J508" s="142">
        <f>D508/I508</f>
        <v>10</v>
      </c>
      <c r="K508" s="68">
        <v>22.38</v>
      </c>
      <c r="L508" s="68">
        <v>23.88</v>
      </c>
      <c r="M508" s="68">
        <f>L508*J508</f>
        <v>238.8</v>
      </c>
      <c r="N508" s="68" t="s">
        <v>129</v>
      </c>
      <c r="O508" s="75">
        <v>405398</v>
      </c>
      <c r="P508" s="47"/>
      <c r="Q508" s="47"/>
    </row>
    <row r="509" customHeight="1" spans="1:17">
      <c r="A509" s="73">
        <v>19781</v>
      </c>
      <c r="B509" s="68" t="s">
        <v>140</v>
      </c>
      <c r="C509" s="70" t="s">
        <v>81</v>
      </c>
      <c r="D509" s="68">
        <v>475</v>
      </c>
      <c r="E509" s="70" t="s">
        <v>39</v>
      </c>
      <c r="F509" s="74">
        <v>7.31</v>
      </c>
      <c r="G509" s="74">
        <f t="shared" si="51"/>
        <v>3472.25</v>
      </c>
      <c r="H509" s="68">
        <v>106</v>
      </c>
      <c r="I509" s="68">
        <v>25</v>
      </c>
      <c r="J509" s="142">
        <f>D509/I509</f>
        <v>19</v>
      </c>
      <c r="K509" s="68">
        <v>22</v>
      </c>
      <c r="L509" s="68">
        <v>23</v>
      </c>
      <c r="M509" s="68">
        <f>L509*J509</f>
        <v>437</v>
      </c>
      <c r="N509" s="68" t="s">
        <v>129</v>
      </c>
      <c r="O509" s="75">
        <v>405398</v>
      </c>
      <c r="P509" s="47"/>
      <c r="Q509" s="47"/>
    </row>
    <row r="510" customHeight="1" spans="1:17">
      <c r="A510" s="73">
        <v>18783</v>
      </c>
      <c r="B510" s="68" t="s">
        <v>137</v>
      </c>
      <c r="C510" s="70" t="s">
        <v>81</v>
      </c>
      <c r="D510" s="68">
        <v>22</v>
      </c>
      <c r="E510" s="70" t="s">
        <v>39</v>
      </c>
      <c r="F510" s="74">
        <v>3.47</v>
      </c>
      <c r="G510" s="74">
        <f t="shared" si="51"/>
        <v>76.34</v>
      </c>
      <c r="H510" s="68">
        <v>106</v>
      </c>
      <c r="I510" s="68">
        <v>25</v>
      </c>
      <c r="J510" s="142">
        <v>1</v>
      </c>
      <c r="K510" s="68">
        <v>14.3</v>
      </c>
      <c r="L510" s="68">
        <v>15.3</v>
      </c>
      <c r="M510" s="68">
        <f>L510*J510</f>
        <v>15.3</v>
      </c>
      <c r="N510" s="68" t="s">
        <v>129</v>
      </c>
      <c r="O510" s="75">
        <v>405398</v>
      </c>
      <c r="P510" s="47">
        <v>12.4344</v>
      </c>
      <c r="Q510" s="47"/>
    </row>
    <row r="511" customHeight="1" spans="1:17">
      <c r="A511" s="73">
        <v>18942</v>
      </c>
      <c r="B511" s="68" t="s">
        <v>141</v>
      </c>
      <c r="C511" s="70" t="s">
        <v>81</v>
      </c>
      <c r="D511" s="68">
        <v>3</v>
      </c>
      <c r="E511" s="70" t="s">
        <v>39</v>
      </c>
      <c r="F511" s="74">
        <v>3.89</v>
      </c>
      <c r="G511" s="74">
        <f t="shared" si="51"/>
        <v>11.67</v>
      </c>
      <c r="H511" s="68"/>
      <c r="I511" s="68"/>
      <c r="J511" s="142"/>
      <c r="K511" s="68"/>
      <c r="L511" s="68"/>
      <c r="M511" s="68"/>
      <c r="N511" s="68"/>
      <c r="O511" s="75">
        <v>405398</v>
      </c>
      <c r="P511" s="47">
        <v>1.92</v>
      </c>
      <c r="Q511" s="47"/>
    </row>
    <row r="512" customHeight="1" spans="1:17">
      <c r="A512" s="73">
        <v>19564</v>
      </c>
      <c r="B512" s="68" t="s">
        <v>142</v>
      </c>
      <c r="C512" s="70" t="s">
        <v>81</v>
      </c>
      <c r="D512" s="68">
        <v>21</v>
      </c>
      <c r="E512" s="70" t="s">
        <v>39</v>
      </c>
      <c r="F512" s="74">
        <v>4</v>
      </c>
      <c r="G512" s="74">
        <f t="shared" si="51"/>
        <v>84</v>
      </c>
      <c r="H512" s="68">
        <v>106</v>
      </c>
      <c r="I512" s="68">
        <v>25</v>
      </c>
      <c r="J512" s="142">
        <v>1</v>
      </c>
      <c r="K512" s="68">
        <v>16.4</v>
      </c>
      <c r="L512" s="68">
        <v>17.4</v>
      </c>
      <c r="M512" s="68">
        <f t="shared" ref="M512:M517" si="52">L512*J512</f>
        <v>17.4</v>
      </c>
      <c r="N512" s="68" t="s">
        <v>129</v>
      </c>
      <c r="O512" s="75">
        <v>405398</v>
      </c>
      <c r="P512" s="47">
        <v>12.096</v>
      </c>
      <c r="Q512" s="47"/>
    </row>
    <row r="513" customHeight="1" spans="1:17">
      <c r="A513" s="73">
        <v>18589</v>
      </c>
      <c r="B513" s="68" t="s">
        <v>134</v>
      </c>
      <c r="C513" s="70" t="s">
        <v>81</v>
      </c>
      <c r="D513" s="68">
        <v>4</v>
      </c>
      <c r="E513" s="70" t="s">
        <v>39</v>
      </c>
      <c r="F513" s="74">
        <v>4.73</v>
      </c>
      <c r="G513" s="74">
        <f t="shared" si="51"/>
        <v>18.92</v>
      </c>
      <c r="H513" s="68"/>
      <c r="I513" s="68"/>
      <c r="J513" s="142"/>
      <c r="K513" s="68"/>
      <c r="L513" s="68"/>
      <c r="M513" s="68"/>
      <c r="N513" s="68"/>
      <c r="O513" s="75">
        <v>405398</v>
      </c>
      <c r="P513" s="47">
        <v>4.32</v>
      </c>
      <c r="Q513" s="47"/>
    </row>
    <row r="514" customHeight="1" spans="1:17">
      <c r="A514" s="73">
        <v>18225</v>
      </c>
      <c r="B514" s="68" t="s">
        <v>143</v>
      </c>
      <c r="C514" s="70" t="s">
        <v>81</v>
      </c>
      <c r="D514" s="68">
        <v>13</v>
      </c>
      <c r="E514" s="70" t="s">
        <v>39</v>
      </c>
      <c r="F514" s="74">
        <v>8.68</v>
      </c>
      <c r="G514" s="74">
        <f t="shared" si="51"/>
        <v>112.84</v>
      </c>
      <c r="H514" s="68">
        <v>106</v>
      </c>
      <c r="I514" s="68">
        <v>25</v>
      </c>
      <c r="J514" s="142">
        <v>1</v>
      </c>
      <c r="K514" s="68">
        <v>23</v>
      </c>
      <c r="L514" s="68">
        <v>24</v>
      </c>
      <c r="M514" s="68">
        <f t="shared" si="52"/>
        <v>24</v>
      </c>
      <c r="N514" s="68" t="s">
        <v>129</v>
      </c>
      <c r="O514" s="75">
        <v>405398</v>
      </c>
      <c r="P514" s="47">
        <v>16.185</v>
      </c>
      <c r="Q514" s="47"/>
    </row>
    <row r="515" customHeight="1" spans="1:17">
      <c r="A515" s="73">
        <v>18718</v>
      </c>
      <c r="B515" s="68" t="s">
        <v>136</v>
      </c>
      <c r="C515" s="70" t="s">
        <v>81</v>
      </c>
      <c r="D515" s="68">
        <v>7</v>
      </c>
      <c r="E515" s="70" t="s">
        <v>39</v>
      </c>
      <c r="F515" s="74">
        <v>11.88</v>
      </c>
      <c r="G515" s="74">
        <f t="shared" si="51"/>
        <v>83.16</v>
      </c>
      <c r="H515" s="68"/>
      <c r="I515" s="68"/>
      <c r="J515" s="142"/>
      <c r="K515" s="68"/>
      <c r="L515" s="68"/>
      <c r="M515" s="68"/>
      <c r="N515" s="68"/>
      <c r="O515" s="75">
        <v>405398</v>
      </c>
      <c r="P515" s="47">
        <v>5.11</v>
      </c>
      <c r="Q515" s="47"/>
    </row>
    <row r="516" customHeight="1" spans="1:17">
      <c r="A516" s="73">
        <v>18806</v>
      </c>
      <c r="B516" s="68" t="s">
        <v>144</v>
      </c>
      <c r="C516" s="70" t="s">
        <v>81</v>
      </c>
      <c r="D516" s="68">
        <v>5</v>
      </c>
      <c r="E516" s="70" t="s">
        <v>39</v>
      </c>
      <c r="F516" s="74">
        <v>3.02</v>
      </c>
      <c r="G516" s="74">
        <f t="shared" si="51"/>
        <v>15.1</v>
      </c>
      <c r="H516" s="68"/>
      <c r="I516" s="68"/>
      <c r="J516" s="142"/>
      <c r="K516" s="68"/>
      <c r="L516" s="68"/>
      <c r="M516" s="68"/>
      <c r="N516" s="68"/>
      <c r="O516" s="75">
        <v>405398</v>
      </c>
      <c r="P516" s="47">
        <v>1.8</v>
      </c>
      <c r="Q516" s="47"/>
    </row>
    <row r="517" customHeight="1" spans="1:17">
      <c r="A517" s="73">
        <v>18700</v>
      </c>
      <c r="B517" s="68" t="s">
        <v>145</v>
      </c>
      <c r="C517" s="70" t="s">
        <v>81</v>
      </c>
      <c r="D517" s="68">
        <v>11</v>
      </c>
      <c r="E517" s="70" t="s">
        <v>39</v>
      </c>
      <c r="F517" s="74">
        <v>11.88</v>
      </c>
      <c r="G517" s="74">
        <f t="shared" si="51"/>
        <v>130.68</v>
      </c>
      <c r="H517" s="68">
        <v>106</v>
      </c>
      <c r="I517" s="68">
        <v>25</v>
      </c>
      <c r="J517" s="142">
        <v>1</v>
      </c>
      <c r="K517" s="68">
        <v>17.4</v>
      </c>
      <c r="L517" s="68">
        <v>18.4</v>
      </c>
      <c r="M517" s="68">
        <f t="shared" si="52"/>
        <v>18.4</v>
      </c>
      <c r="N517" s="68" t="s">
        <v>129</v>
      </c>
      <c r="O517" s="75">
        <v>405398</v>
      </c>
      <c r="P517" s="47">
        <v>6.3272</v>
      </c>
      <c r="Q517" s="47"/>
    </row>
    <row r="518" customHeight="1" spans="1:17">
      <c r="A518" s="73">
        <v>18829</v>
      </c>
      <c r="B518" s="68" t="s">
        <v>138</v>
      </c>
      <c r="C518" s="70" t="s">
        <v>81</v>
      </c>
      <c r="D518" s="68">
        <v>9</v>
      </c>
      <c r="E518" s="70" t="s">
        <v>39</v>
      </c>
      <c r="F518" s="74">
        <v>5.27</v>
      </c>
      <c r="G518" s="74">
        <f t="shared" si="51"/>
        <v>47.43</v>
      </c>
      <c r="H518" s="68"/>
      <c r="I518" s="68"/>
      <c r="J518" s="142"/>
      <c r="K518" s="68"/>
      <c r="L518" s="68"/>
      <c r="M518" s="68"/>
      <c r="N518" s="68"/>
      <c r="O518" s="75">
        <v>405398</v>
      </c>
      <c r="P518" s="47">
        <v>6.66</v>
      </c>
      <c r="Q518" s="47"/>
    </row>
    <row r="519" customHeight="1" spans="1:17">
      <c r="A519" s="73">
        <v>18949</v>
      </c>
      <c r="B519" s="68" t="s">
        <v>139</v>
      </c>
      <c r="C519" s="70" t="s">
        <v>81</v>
      </c>
      <c r="D519" s="68">
        <v>5</v>
      </c>
      <c r="E519" s="70" t="s">
        <v>39</v>
      </c>
      <c r="F519" s="74">
        <v>7.7</v>
      </c>
      <c r="G519" s="74">
        <f t="shared" si="51"/>
        <v>38.5</v>
      </c>
      <c r="H519" s="68"/>
      <c r="I519" s="68"/>
      <c r="J519" s="142"/>
      <c r="K519" s="68"/>
      <c r="L519" s="68"/>
      <c r="M519" s="68"/>
      <c r="N519" s="68"/>
      <c r="O519" s="75">
        <v>405398</v>
      </c>
      <c r="P519" s="47">
        <v>4.476</v>
      </c>
      <c r="Q519" s="47"/>
    </row>
    <row r="520" customHeight="1" spans="1:17">
      <c r="A520" s="73">
        <v>18472</v>
      </c>
      <c r="B520" s="68" t="s">
        <v>146</v>
      </c>
      <c r="C520" s="70" t="s">
        <v>81</v>
      </c>
      <c r="D520" s="68">
        <v>12</v>
      </c>
      <c r="E520" s="70" t="s">
        <v>39</v>
      </c>
      <c r="F520" s="74">
        <v>3.89</v>
      </c>
      <c r="G520" s="74">
        <f t="shared" si="51"/>
        <v>46.68</v>
      </c>
      <c r="H520" s="68">
        <v>106</v>
      </c>
      <c r="I520" s="68">
        <v>25</v>
      </c>
      <c r="J520" s="142">
        <v>1</v>
      </c>
      <c r="K520" s="68">
        <v>20</v>
      </c>
      <c r="L520" s="68">
        <v>21</v>
      </c>
      <c r="M520" s="68">
        <f>L520*J520</f>
        <v>21</v>
      </c>
      <c r="N520" s="68" t="s">
        <v>129</v>
      </c>
      <c r="O520" s="75">
        <v>405398</v>
      </c>
      <c r="P520" s="47">
        <v>8.5824</v>
      </c>
      <c r="Q520" s="47"/>
    </row>
    <row r="521" customHeight="1" spans="1:17">
      <c r="A521" s="73">
        <v>19781</v>
      </c>
      <c r="B521" s="68" t="s">
        <v>140</v>
      </c>
      <c r="C521" s="70" t="s">
        <v>81</v>
      </c>
      <c r="D521" s="68">
        <v>13</v>
      </c>
      <c r="E521" s="70" t="s">
        <v>39</v>
      </c>
      <c r="F521" s="74">
        <v>7.31</v>
      </c>
      <c r="G521" s="74">
        <f t="shared" si="51"/>
        <v>95.03</v>
      </c>
      <c r="H521" s="68"/>
      <c r="I521" s="68"/>
      <c r="J521" s="142"/>
      <c r="K521" s="68"/>
      <c r="L521" s="68"/>
      <c r="M521" s="68"/>
      <c r="N521" s="68"/>
      <c r="O521" s="75">
        <v>405398</v>
      </c>
      <c r="P521" s="47">
        <v>11.44</v>
      </c>
      <c r="Q521" s="47"/>
    </row>
    <row r="522" customHeight="1" spans="1:17">
      <c r="A522" s="73">
        <v>18705</v>
      </c>
      <c r="B522" s="68" t="s">
        <v>147</v>
      </c>
      <c r="C522" s="70" t="s">
        <v>81</v>
      </c>
      <c r="D522" s="68">
        <v>3</v>
      </c>
      <c r="E522" s="70" t="s">
        <v>39</v>
      </c>
      <c r="F522" s="74">
        <v>12.18</v>
      </c>
      <c r="G522" s="74">
        <f t="shared" si="51"/>
        <v>36.54</v>
      </c>
      <c r="H522" s="68">
        <v>106</v>
      </c>
      <c r="I522" s="68">
        <v>25</v>
      </c>
      <c r="J522" s="142">
        <v>1</v>
      </c>
      <c r="K522" s="68">
        <v>17.06</v>
      </c>
      <c r="L522" s="68">
        <v>18.06</v>
      </c>
      <c r="M522" s="68">
        <f>L522*J522</f>
        <v>18.06</v>
      </c>
      <c r="N522" s="68" t="s">
        <v>129</v>
      </c>
      <c r="O522" s="75">
        <v>405398</v>
      </c>
      <c r="P522" s="47">
        <v>1.8</v>
      </c>
      <c r="Q522" s="47"/>
    </row>
    <row r="523" customHeight="1" spans="1:17">
      <c r="A523" s="73">
        <v>18469</v>
      </c>
      <c r="B523" s="68" t="s">
        <v>148</v>
      </c>
      <c r="C523" s="70" t="s">
        <v>81</v>
      </c>
      <c r="D523" s="68">
        <v>17</v>
      </c>
      <c r="E523" s="70" t="s">
        <v>39</v>
      </c>
      <c r="F523" s="74">
        <v>3.7</v>
      </c>
      <c r="G523" s="74">
        <f t="shared" si="51"/>
        <v>62.9</v>
      </c>
      <c r="H523" s="68"/>
      <c r="I523" s="68"/>
      <c r="J523" s="142"/>
      <c r="K523" s="68"/>
      <c r="L523" s="68"/>
      <c r="M523" s="68"/>
      <c r="N523" s="68"/>
      <c r="O523" s="75">
        <v>405398</v>
      </c>
      <c r="P523" s="47">
        <v>9.86</v>
      </c>
      <c r="Q523" s="47"/>
    </row>
    <row r="524" customHeight="1" spans="1:17">
      <c r="A524" s="73">
        <v>18589</v>
      </c>
      <c r="B524" s="68" t="s">
        <v>134</v>
      </c>
      <c r="C524" s="70" t="s">
        <v>81</v>
      </c>
      <c r="D524" s="68">
        <v>5</v>
      </c>
      <c r="E524" s="70" t="s">
        <v>39</v>
      </c>
      <c r="F524" s="74">
        <v>4.73</v>
      </c>
      <c r="G524" s="74">
        <f t="shared" si="51"/>
        <v>23.65</v>
      </c>
      <c r="H524" s="68"/>
      <c r="I524" s="68"/>
      <c r="J524" s="142"/>
      <c r="K524" s="68"/>
      <c r="L524" s="68"/>
      <c r="M524" s="68"/>
      <c r="N524" s="68"/>
      <c r="O524" s="75">
        <v>405398</v>
      </c>
      <c r="P524" s="47">
        <v>5.4</v>
      </c>
      <c r="Q524" s="47"/>
    </row>
    <row r="525" customHeight="1" spans="1:17">
      <c r="A525" s="68"/>
      <c r="B525" s="73"/>
      <c r="C525" s="68"/>
      <c r="D525" s="68"/>
      <c r="E525" s="148" t="s">
        <v>245</v>
      </c>
      <c r="F525" s="136"/>
      <c r="G525" s="136"/>
      <c r="H525" s="136"/>
      <c r="I525" s="136"/>
      <c r="J525" s="136"/>
      <c r="K525" s="136"/>
      <c r="L525" s="136"/>
      <c r="M525" s="137"/>
      <c r="N525" s="125"/>
    </row>
    <row r="526" customHeight="1" spans="1:17">
      <c r="A526" s="68"/>
      <c r="B526" s="73"/>
      <c r="C526" s="68"/>
      <c r="D526" s="68"/>
      <c r="E526" s="138"/>
      <c r="F526" s="139"/>
      <c r="G526" s="139"/>
      <c r="H526" s="139"/>
      <c r="I526" s="139"/>
      <c r="J526" s="139"/>
      <c r="K526" s="139"/>
      <c r="L526" s="139"/>
      <c r="M526" s="140"/>
      <c r="N526" s="125"/>
    </row>
    <row r="527" customHeight="1" spans="1:17">
      <c r="A527" s="68"/>
      <c r="B527" s="73"/>
      <c r="C527" s="68"/>
      <c r="D527" s="68">
        <f>SUM(D507:D526)</f>
        <v>900</v>
      </c>
      <c r="E527" s="68"/>
      <c r="F527" s="74"/>
      <c r="G527" s="74">
        <f>SUM(G507:G526)</f>
        <v>6577.69</v>
      </c>
      <c r="H527" s="141"/>
      <c r="I527" s="125"/>
      <c r="J527" s="126">
        <f>SUM(J507:J526)</f>
        <v>36</v>
      </c>
      <c r="K527" s="128"/>
      <c r="L527" s="128"/>
      <c r="M527" s="128">
        <f>SUM(M507:M526)</f>
        <v>809.71</v>
      </c>
      <c r="N527" s="125"/>
    </row>
    <row r="531" customHeight="1" spans="1:17">
      <c r="A531" s="73" t="s">
        <v>227</v>
      </c>
      <c r="B531" s="68" t="s">
        <v>228</v>
      </c>
      <c r="C531" s="70" t="s">
        <v>179</v>
      </c>
      <c r="D531" s="68">
        <v>80</v>
      </c>
      <c r="E531" s="70" t="s">
        <v>39</v>
      </c>
      <c r="F531" s="74">
        <v>5</v>
      </c>
      <c r="G531" s="71">
        <f t="shared" ref="G531:G547" si="53">F531*D531</f>
        <v>400</v>
      </c>
      <c r="H531" s="68">
        <v>117</v>
      </c>
      <c r="I531" s="68">
        <v>20</v>
      </c>
      <c r="J531" s="149">
        <f>D531/I531</f>
        <v>4</v>
      </c>
      <c r="K531" s="68">
        <v>7</v>
      </c>
      <c r="L531" s="68">
        <v>8</v>
      </c>
      <c r="M531" s="68">
        <f>L531*J531</f>
        <v>32</v>
      </c>
      <c r="N531" s="68" t="s">
        <v>204</v>
      </c>
      <c r="O531" s="75">
        <v>405398</v>
      </c>
      <c r="P531" s="47"/>
      <c r="Q531" s="47"/>
    </row>
    <row r="532" customHeight="1" spans="1:17">
      <c r="A532" s="73">
        <v>28946</v>
      </c>
      <c r="B532" s="68" t="s">
        <v>229</v>
      </c>
      <c r="C532" s="70" t="s">
        <v>179</v>
      </c>
      <c r="D532" s="68">
        <v>20</v>
      </c>
      <c r="E532" s="70" t="s">
        <v>39</v>
      </c>
      <c r="F532" s="74">
        <v>6.1</v>
      </c>
      <c r="G532" s="71">
        <f t="shared" si="53"/>
        <v>122</v>
      </c>
      <c r="H532" s="68">
        <v>117</v>
      </c>
      <c r="I532" s="68">
        <v>20</v>
      </c>
      <c r="J532" s="149">
        <f>D532/I532</f>
        <v>1</v>
      </c>
      <c r="K532" s="68">
        <v>15.72</v>
      </c>
      <c r="L532" s="68">
        <v>16.72</v>
      </c>
      <c r="M532" s="68">
        <f>L532*J532</f>
        <v>16.72</v>
      </c>
      <c r="N532" s="68" t="s">
        <v>204</v>
      </c>
      <c r="O532" s="75">
        <v>405398</v>
      </c>
      <c r="P532" s="47"/>
      <c r="Q532" s="47"/>
    </row>
    <row r="533" customHeight="1" spans="1:17">
      <c r="A533" s="73" t="s">
        <v>227</v>
      </c>
      <c r="B533" s="68" t="s">
        <v>228</v>
      </c>
      <c r="C533" s="70" t="s">
        <v>179</v>
      </c>
      <c r="D533" s="68">
        <v>6</v>
      </c>
      <c r="E533" s="70" t="s">
        <v>39</v>
      </c>
      <c r="F533" s="74">
        <v>5</v>
      </c>
      <c r="G533" s="71">
        <f t="shared" si="53"/>
        <v>30</v>
      </c>
      <c r="H533" s="80">
        <v>117</v>
      </c>
      <c r="I533" s="80">
        <v>19</v>
      </c>
      <c r="J533" s="150">
        <v>1</v>
      </c>
      <c r="K533" s="80">
        <v>12.32</v>
      </c>
      <c r="L533" s="80">
        <v>13.32</v>
      </c>
      <c r="M533" s="80">
        <f>L533*J533</f>
        <v>13.32</v>
      </c>
      <c r="N533" s="80" t="s">
        <v>204</v>
      </c>
      <c r="O533" s="75">
        <v>405398</v>
      </c>
      <c r="P533" s="47">
        <v>2.1</v>
      </c>
      <c r="Q533" s="47"/>
    </row>
    <row r="534" customHeight="1" spans="1:17">
      <c r="A534" s="73">
        <v>28946</v>
      </c>
      <c r="B534" s="68" t="s">
        <v>229</v>
      </c>
      <c r="C534" s="70" t="s">
        <v>179</v>
      </c>
      <c r="D534" s="68">
        <v>13</v>
      </c>
      <c r="E534" s="70" t="s">
        <v>39</v>
      </c>
      <c r="F534" s="74">
        <v>6.1</v>
      </c>
      <c r="G534" s="71">
        <f t="shared" si="53"/>
        <v>79.3</v>
      </c>
      <c r="H534" s="79"/>
      <c r="I534" s="79"/>
      <c r="J534" s="151"/>
      <c r="K534" s="79"/>
      <c r="L534" s="79"/>
      <c r="M534" s="79"/>
      <c r="N534" s="79"/>
      <c r="O534" s="75">
        <v>405398</v>
      </c>
      <c r="P534" s="47">
        <v>10.22</v>
      </c>
      <c r="Q534" s="47"/>
    </row>
    <row r="535" customHeight="1" spans="1:17">
      <c r="A535" s="73">
        <v>28836</v>
      </c>
      <c r="B535" s="68" t="s">
        <v>230</v>
      </c>
      <c r="C535" s="70" t="s">
        <v>179</v>
      </c>
      <c r="D535" s="68">
        <v>8</v>
      </c>
      <c r="E535" s="70" t="s">
        <v>39</v>
      </c>
      <c r="F535" s="74">
        <v>5.9</v>
      </c>
      <c r="G535" s="71">
        <f t="shared" si="53"/>
        <v>47.2</v>
      </c>
      <c r="H535" s="80">
        <v>117</v>
      </c>
      <c r="I535" s="80">
        <v>17</v>
      </c>
      <c r="J535" s="150">
        <v>1</v>
      </c>
      <c r="K535" s="80">
        <v>11.14</v>
      </c>
      <c r="L535" s="80">
        <v>12.14</v>
      </c>
      <c r="M535" s="80">
        <f>L535*J535</f>
        <v>12.14</v>
      </c>
      <c r="N535" s="80" t="s">
        <v>204</v>
      </c>
      <c r="O535" s="75">
        <v>405398</v>
      </c>
      <c r="P535" s="47">
        <v>5.24</v>
      </c>
      <c r="Q535" s="47"/>
    </row>
    <row r="536" customHeight="1" spans="1:17">
      <c r="A536" s="73">
        <v>28792</v>
      </c>
      <c r="B536" s="68" t="s">
        <v>231</v>
      </c>
      <c r="C536" s="70" t="s">
        <v>179</v>
      </c>
      <c r="D536" s="68">
        <v>9</v>
      </c>
      <c r="E536" s="70" t="s">
        <v>39</v>
      </c>
      <c r="F536" s="74">
        <v>5.75</v>
      </c>
      <c r="G536" s="71">
        <f t="shared" si="53"/>
        <v>51.75</v>
      </c>
      <c r="H536" s="79"/>
      <c r="I536" s="79"/>
      <c r="J536" s="151"/>
      <c r="K536" s="79"/>
      <c r="L536" s="79"/>
      <c r="M536" s="79"/>
      <c r="N536" s="79"/>
      <c r="O536" s="75">
        <v>405398</v>
      </c>
      <c r="P536" s="47">
        <v>5.9</v>
      </c>
      <c r="Q536" s="47"/>
    </row>
    <row r="537" customHeight="1" spans="1:17">
      <c r="A537" s="73">
        <v>28581</v>
      </c>
      <c r="B537" s="68" t="s">
        <v>178</v>
      </c>
      <c r="C537" s="70" t="s">
        <v>179</v>
      </c>
      <c r="D537" s="68">
        <v>8</v>
      </c>
      <c r="E537" s="70" t="s">
        <v>39</v>
      </c>
      <c r="F537" s="74">
        <v>5.6</v>
      </c>
      <c r="G537" s="71">
        <f t="shared" si="53"/>
        <v>44.8</v>
      </c>
      <c r="H537" s="80">
        <v>115</v>
      </c>
      <c r="I537" s="80">
        <v>23</v>
      </c>
      <c r="J537" s="150">
        <v>1</v>
      </c>
      <c r="K537" s="80">
        <v>11.02</v>
      </c>
      <c r="L537" s="80">
        <v>12.02</v>
      </c>
      <c r="M537" s="80">
        <f>L537*J537</f>
        <v>12.02</v>
      </c>
      <c r="N537" s="80" t="s">
        <v>204</v>
      </c>
      <c r="O537" s="75">
        <v>405398</v>
      </c>
      <c r="P537" s="47">
        <v>3.6</v>
      </c>
      <c r="Q537" s="47"/>
    </row>
    <row r="538" customHeight="1" spans="1:17">
      <c r="A538" s="73">
        <v>28823</v>
      </c>
      <c r="B538" s="68" t="s">
        <v>205</v>
      </c>
      <c r="C538" s="70" t="s">
        <v>179</v>
      </c>
      <c r="D538" s="68">
        <v>15</v>
      </c>
      <c r="E538" s="70" t="s">
        <v>39</v>
      </c>
      <c r="F538" s="74">
        <v>5.75</v>
      </c>
      <c r="G538" s="71">
        <f t="shared" si="53"/>
        <v>86.25</v>
      </c>
      <c r="H538" s="79"/>
      <c r="I538" s="79"/>
      <c r="J538" s="151"/>
      <c r="K538" s="79"/>
      <c r="L538" s="79"/>
      <c r="M538" s="79"/>
      <c r="N538" s="79"/>
      <c r="O538" s="75">
        <v>405398</v>
      </c>
      <c r="P538" s="47">
        <v>7.425</v>
      </c>
      <c r="Q538" s="47"/>
    </row>
    <row r="539" customHeight="1" spans="1:17">
      <c r="A539" s="100">
        <v>28603</v>
      </c>
      <c r="B539" s="68" t="s">
        <v>232</v>
      </c>
      <c r="C539" s="70" t="s">
        <v>179</v>
      </c>
      <c r="D539" s="68">
        <v>23</v>
      </c>
      <c r="E539" s="69" t="s">
        <v>39</v>
      </c>
      <c r="F539" s="105">
        <v>5.6</v>
      </c>
      <c r="G539" s="77">
        <f t="shared" si="53"/>
        <v>128.8</v>
      </c>
      <c r="H539" s="111">
        <v>115</v>
      </c>
      <c r="I539" s="68">
        <v>23</v>
      </c>
      <c r="J539" s="149">
        <f>D539/I539</f>
        <v>1</v>
      </c>
      <c r="K539" s="68">
        <v>8.5</v>
      </c>
      <c r="L539" s="68">
        <v>9.51</v>
      </c>
      <c r="M539" s="68">
        <f t="shared" ref="M539:M544" si="54">L539*J539</f>
        <v>9.51</v>
      </c>
      <c r="N539" s="68" t="s">
        <v>204</v>
      </c>
      <c r="O539" s="75">
        <v>405398</v>
      </c>
      <c r="P539" s="47"/>
      <c r="Q539" s="47"/>
    </row>
    <row r="540" customHeight="1" spans="1:17">
      <c r="A540" s="100">
        <v>28627</v>
      </c>
      <c r="B540" s="68" t="s">
        <v>233</v>
      </c>
      <c r="C540" s="70" t="s">
        <v>179</v>
      </c>
      <c r="D540" s="68">
        <v>22</v>
      </c>
      <c r="E540" s="69" t="s">
        <v>39</v>
      </c>
      <c r="F540" s="105">
        <v>5.7</v>
      </c>
      <c r="G540" s="77">
        <f t="shared" si="53"/>
        <v>125.4</v>
      </c>
      <c r="H540" s="111">
        <v>115</v>
      </c>
      <c r="I540" s="68">
        <v>22</v>
      </c>
      <c r="J540" s="149">
        <f>D540/I540</f>
        <v>1</v>
      </c>
      <c r="K540" s="68">
        <v>10.56</v>
      </c>
      <c r="L540" s="68">
        <v>11.56</v>
      </c>
      <c r="M540" s="68">
        <f t="shared" si="54"/>
        <v>11.56</v>
      </c>
      <c r="N540" s="68" t="s">
        <v>204</v>
      </c>
      <c r="O540" s="75">
        <v>405398</v>
      </c>
      <c r="P540" s="47"/>
      <c r="Q540" s="47"/>
    </row>
    <row r="541" customHeight="1" spans="1:17">
      <c r="A541" s="100">
        <v>28688</v>
      </c>
      <c r="B541" s="68" t="s">
        <v>234</v>
      </c>
      <c r="C541" s="70" t="s">
        <v>179</v>
      </c>
      <c r="D541" s="68">
        <v>20</v>
      </c>
      <c r="E541" s="69" t="s">
        <v>39</v>
      </c>
      <c r="F541" s="105">
        <v>5.7</v>
      </c>
      <c r="G541" s="77">
        <f t="shared" si="53"/>
        <v>114</v>
      </c>
      <c r="H541" s="111">
        <v>115</v>
      </c>
      <c r="I541" s="68">
        <v>20</v>
      </c>
      <c r="J541" s="149">
        <f>D541/I541</f>
        <v>1</v>
      </c>
      <c r="K541" s="68">
        <v>9</v>
      </c>
      <c r="L541" s="68">
        <v>10</v>
      </c>
      <c r="M541" s="68">
        <f t="shared" si="54"/>
        <v>10</v>
      </c>
      <c r="N541" s="68" t="s">
        <v>225</v>
      </c>
      <c r="O541" s="75">
        <v>405398</v>
      </c>
      <c r="P541" s="47"/>
      <c r="Q541" s="47"/>
    </row>
    <row r="542" customHeight="1" spans="1:17">
      <c r="A542" s="100">
        <v>28841</v>
      </c>
      <c r="B542" s="68" t="s">
        <v>236</v>
      </c>
      <c r="C542" s="70" t="s">
        <v>179</v>
      </c>
      <c r="D542" s="68">
        <v>15</v>
      </c>
      <c r="E542" s="69" t="s">
        <v>39</v>
      </c>
      <c r="F542" s="105">
        <v>5.75</v>
      </c>
      <c r="G542" s="77">
        <f t="shared" si="53"/>
        <v>86.25</v>
      </c>
      <c r="H542" s="111">
        <v>115</v>
      </c>
      <c r="I542" s="68">
        <v>15</v>
      </c>
      <c r="J542" s="149">
        <f>D542/I542</f>
        <v>1</v>
      </c>
      <c r="K542" s="68">
        <v>6.15</v>
      </c>
      <c r="L542" s="68">
        <v>7.15</v>
      </c>
      <c r="M542" s="68">
        <f t="shared" si="54"/>
        <v>7.15</v>
      </c>
      <c r="N542" s="68" t="s">
        <v>225</v>
      </c>
      <c r="O542" s="75">
        <v>405398</v>
      </c>
      <c r="P542" s="47"/>
      <c r="Q542" s="47"/>
    </row>
    <row r="543" customHeight="1" spans="1:17">
      <c r="A543" s="67">
        <v>19617</v>
      </c>
      <c r="B543" s="68" t="s">
        <v>171</v>
      </c>
      <c r="C543" s="70" t="s">
        <v>81</v>
      </c>
      <c r="D543" s="68">
        <v>20</v>
      </c>
      <c r="E543" s="70" t="s">
        <v>39</v>
      </c>
      <c r="F543" s="71">
        <v>13.08</v>
      </c>
      <c r="G543" s="71">
        <f t="shared" si="53"/>
        <v>261.6</v>
      </c>
      <c r="H543" s="68">
        <v>107</v>
      </c>
      <c r="I543" s="68">
        <v>20</v>
      </c>
      <c r="J543" s="149">
        <f>D543/I543</f>
        <v>1</v>
      </c>
      <c r="K543" s="68">
        <v>16.53</v>
      </c>
      <c r="L543" s="68">
        <v>18.03</v>
      </c>
      <c r="M543" s="68">
        <f t="shared" si="54"/>
        <v>18.03</v>
      </c>
      <c r="N543" s="68" t="s">
        <v>172</v>
      </c>
      <c r="O543" s="75">
        <v>405398</v>
      </c>
      <c r="P543" s="47"/>
      <c r="Q543" s="47"/>
    </row>
    <row r="544" customHeight="1" spans="1:17">
      <c r="A544" s="67">
        <v>19617</v>
      </c>
      <c r="B544" s="68" t="s">
        <v>171</v>
      </c>
      <c r="C544" s="70" t="s">
        <v>81</v>
      </c>
      <c r="D544" s="68">
        <v>16</v>
      </c>
      <c r="E544" s="70" t="s">
        <v>39</v>
      </c>
      <c r="F544" s="71">
        <v>13.08</v>
      </c>
      <c r="G544" s="71">
        <f t="shared" si="53"/>
        <v>209.28</v>
      </c>
      <c r="H544" s="80">
        <v>107</v>
      </c>
      <c r="I544" s="80">
        <v>23</v>
      </c>
      <c r="J544" s="150">
        <v>1</v>
      </c>
      <c r="K544" s="80">
        <v>23.02</v>
      </c>
      <c r="L544" s="80">
        <v>24.02</v>
      </c>
      <c r="M544" s="80">
        <f t="shared" si="54"/>
        <v>24.02</v>
      </c>
      <c r="N544" s="80" t="s">
        <v>173</v>
      </c>
      <c r="O544" s="75">
        <v>405398</v>
      </c>
      <c r="P544" s="47">
        <v>13.22</v>
      </c>
      <c r="Q544" s="47"/>
    </row>
    <row r="545" customHeight="1" spans="1:17">
      <c r="A545" s="67">
        <v>18187</v>
      </c>
      <c r="B545" s="68" t="s">
        <v>169</v>
      </c>
      <c r="C545" s="70" t="s">
        <v>81</v>
      </c>
      <c r="D545" s="68">
        <v>7</v>
      </c>
      <c r="E545" s="70" t="s">
        <v>39</v>
      </c>
      <c r="F545" s="71">
        <v>9.52</v>
      </c>
      <c r="G545" s="71">
        <f t="shared" si="53"/>
        <v>66.64</v>
      </c>
      <c r="H545" s="79"/>
      <c r="I545" s="79"/>
      <c r="J545" s="151"/>
      <c r="K545" s="79"/>
      <c r="L545" s="79"/>
      <c r="M545" s="79"/>
      <c r="N545" s="79"/>
      <c r="O545" s="75">
        <v>405398</v>
      </c>
      <c r="P545" s="47">
        <v>9.8</v>
      </c>
      <c r="Q545" s="47"/>
    </row>
    <row r="546" customHeight="1" spans="1:17">
      <c r="A546" s="67">
        <v>18475</v>
      </c>
      <c r="B546" s="68" t="s">
        <v>176</v>
      </c>
      <c r="C546" s="70" t="s">
        <v>81</v>
      </c>
      <c r="D546" s="68">
        <v>2</v>
      </c>
      <c r="E546" s="70" t="s">
        <v>39</v>
      </c>
      <c r="F546" s="71">
        <v>11</v>
      </c>
      <c r="G546" s="71">
        <f t="shared" si="53"/>
        <v>22</v>
      </c>
      <c r="H546" s="68">
        <v>114</v>
      </c>
      <c r="I546" s="80">
        <v>7</v>
      </c>
      <c r="J546" s="150">
        <v>1</v>
      </c>
      <c r="K546" s="80">
        <v>4.59</v>
      </c>
      <c r="L546" s="80">
        <v>5.59</v>
      </c>
      <c r="M546" s="80">
        <f>L546*J546</f>
        <v>5.59</v>
      </c>
      <c r="N546" s="80" t="s">
        <v>177</v>
      </c>
      <c r="O546" s="75">
        <v>405398</v>
      </c>
      <c r="P546" s="47">
        <v>3.05</v>
      </c>
      <c r="Q546" s="47"/>
    </row>
    <row r="547" customHeight="1" spans="1:17">
      <c r="A547" s="67">
        <v>18136</v>
      </c>
      <c r="B547" s="68" t="s">
        <v>174</v>
      </c>
      <c r="C547" s="70" t="s">
        <v>81</v>
      </c>
      <c r="D547" s="68">
        <v>5</v>
      </c>
      <c r="E547" s="70" t="s">
        <v>39</v>
      </c>
      <c r="F547" s="71">
        <v>2.15</v>
      </c>
      <c r="G547" s="71">
        <f t="shared" si="53"/>
        <v>10.75</v>
      </c>
      <c r="H547" s="68">
        <v>111</v>
      </c>
      <c r="I547" s="79"/>
      <c r="J547" s="151"/>
      <c r="K547" s="79"/>
      <c r="L547" s="79"/>
      <c r="M547" s="79"/>
      <c r="N547" s="79"/>
      <c r="O547" s="75">
        <v>405398</v>
      </c>
      <c r="P547" s="47">
        <v>1.54</v>
      </c>
      <c r="Q547" s="47"/>
    </row>
    <row r="548" customHeight="1" spans="1:17">
      <c r="A548" s="67">
        <v>8515</v>
      </c>
      <c r="B548" s="68" t="s">
        <v>70</v>
      </c>
      <c r="C548" s="70" t="s">
        <v>47</v>
      </c>
      <c r="D548" s="68">
        <v>50</v>
      </c>
      <c r="E548" s="70" t="s">
        <v>39</v>
      </c>
      <c r="F548" s="71">
        <v>1.45</v>
      </c>
      <c r="G548" s="71">
        <f t="shared" ref="G548:G559" si="55">F548*D548</f>
        <v>72.5</v>
      </c>
      <c r="H548" s="68" t="s">
        <v>71</v>
      </c>
      <c r="I548" s="68">
        <v>50</v>
      </c>
      <c r="J548" s="142">
        <f>D548/I548</f>
        <v>1</v>
      </c>
      <c r="K548" s="68">
        <v>5.25</v>
      </c>
      <c r="L548" s="68">
        <v>6.25</v>
      </c>
      <c r="M548" s="68">
        <f>L548*J548</f>
        <v>6.25</v>
      </c>
      <c r="N548" s="68" t="s">
        <v>72</v>
      </c>
      <c r="O548" s="75">
        <v>405398</v>
      </c>
      <c r="P548" s="72"/>
      <c r="Q548" s="72"/>
    </row>
    <row r="549" customHeight="1" spans="1:17">
      <c r="A549" s="67">
        <v>8515</v>
      </c>
      <c r="B549" s="68" t="s">
        <v>70</v>
      </c>
      <c r="C549" s="70" t="s">
        <v>47</v>
      </c>
      <c r="D549" s="68">
        <v>1</v>
      </c>
      <c r="E549" s="70" t="s">
        <v>39</v>
      </c>
      <c r="F549" s="71">
        <v>1.45</v>
      </c>
      <c r="G549" s="71">
        <f t="shared" si="55"/>
        <v>1.45</v>
      </c>
      <c r="H549" s="68">
        <v>105</v>
      </c>
      <c r="I549" s="80">
        <v>71</v>
      </c>
      <c r="J549" s="143">
        <v>1</v>
      </c>
      <c r="K549" s="80">
        <v>4.9</v>
      </c>
      <c r="L549" s="80">
        <v>5.9</v>
      </c>
      <c r="M549" s="80">
        <f>L549*J549</f>
        <v>5.9</v>
      </c>
      <c r="N549" s="80" t="s">
        <v>72</v>
      </c>
      <c r="O549" s="75">
        <v>405398</v>
      </c>
      <c r="P549" s="72">
        <v>1</v>
      </c>
      <c r="Q549" s="72">
        <v>0.105</v>
      </c>
    </row>
    <row r="550" customHeight="1" spans="1:17">
      <c r="A550" s="67">
        <v>8764</v>
      </c>
      <c r="B550" s="68" t="s">
        <v>73</v>
      </c>
      <c r="C550" s="70" t="s">
        <v>47</v>
      </c>
      <c r="D550" s="68">
        <v>2</v>
      </c>
      <c r="E550" s="70" t="s">
        <v>39</v>
      </c>
      <c r="F550" s="71">
        <v>1.45</v>
      </c>
      <c r="G550" s="71">
        <f t="shared" si="55"/>
        <v>2.9</v>
      </c>
      <c r="H550" s="68" t="s">
        <v>71</v>
      </c>
      <c r="I550" s="81"/>
      <c r="J550" s="152"/>
      <c r="K550" s="81"/>
      <c r="L550" s="81"/>
      <c r="M550" s="81"/>
      <c r="N550" s="81"/>
      <c r="O550" s="75">
        <v>405398</v>
      </c>
      <c r="P550" s="72">
        <v>1</v>
      </c>
      <c r="Q550" s="72">
        <v>0.3</v>
      </c>
    </row>
    <row r="551" customHeight="1" spans="1:17">
      <c r="A551" s="67">
        <v>8423</v>
      </c>
      <c r="B551" s="68" t="s">
        <v>55</v>
      </c>
      <c r="C551" s="70" t="s">
        <v>47</v>
      </c>
      <c r="D551" s="68">
        <v>68</v>
      </c>
      <c r="E551" s="70" t="s">
        <v>39</v>
      </c>
      <c r="F551" s="71">
        <v>0.73</v>
      </c>
      <c r="G551" s="71">
        <f t="shared" si="55"/>
        <v>49.64</v>
      </c>
      <c r="H551" s="68" t="s">
        <v>52</v>
      </c>
      <c r="I551" s="79"/>
      <c r="J551" s="144"/>
      <c r="K551" s="79"/>
      <c r="L551" s="79"/>
      <c r="M551" s="79"/>
      <c r="N551" s="79"/>
      <c r="O551" s="75">
        <v>405398</v>
      </c>
      <c r="P551" s="72">
        <v>17</v>
      </c>
      <c r="Q551" s="72">
        <v>4.4</v>
      </c>
    </row>
    <row r="552" customHeight="1" spans="1:17">
      <c r="A552" s="67">
        <v>8515</v>
      </c>
      <c r="B552" s="68" t="s">
        <v>70</v>
      </c>
      <c r="C552" s="69" t="s">
        <v>47</v>
      </c>
      <c r="D552" s="68">
        <v>26</v>
      </c>
      <c r="E552" s="69" t="s">
        <v>39</v>
      </c>
      <c r="F552" s="76">
        <v>1.4</v>
      </c>
      <c r="G552" s="77">
        <f t="shared" si="55"/>
        <v>36.4</v>
      </c>
      <c r="H552" s="78" t="s">
        <v>71</v>
      </c>
      <c r="I552" s="81">
        <v>33</v>
      </c>
      <c r="J552" s="152">
        <v>1</v>
      </c>
      <c r="K552" s="81">
        <v>3.6</v>
      </c>
      <c r="L552" s="81">
        <v>4.6</v>
      </c>
      <c r="M552" s="80">
        <f>L552*J552</f>
        <v>4.6</v>
      </c>
      <c r="N552" s="81" t="s">
        <v>72</v>
      </c>
      <c r="O552" s="23">
        <v>420867</v>
      </c>
      <c r="P552" s="72">
        <v>13</v>
      </c>
      <c r="Q552" s="47">
        <v>2.73</v>
      </c>
    </row>
    <row r="553" customHeight="1" spans="1:17">
      <c r="A553" s="67">
        <v>8515</v>
      </c>
      <c r="B553" s="68" t="s">
        <v>70</v>
      </c>
      <c r="C553" s="69" t="s">
        <v>47</v>
      </c>
      <c r="D553" s="68">
        <v>1</v>
      </c>
      <c r="E553" s="69" t="s">
        <v>39</v>
      </c>
      <c r="F553" s="76">
        <v>1.4</v>
      </c>
      <c r="G553" s="77">
        <f t="shared" si="55"/>
        <v>1.4</v>
      </c>
      <c r="H553" s="78">
        <v>105</v>
      </c>
      <c r="I553" s="81"/>
      <c r="J553" s="152"/>
      <c r="K553" s="81"/>
      <c r="L553" s="81"/>
      <c r="M553" s="81"/>
      <c r="N553" s="81"/>
      <c r="O553" s="23">
        <v>420867</v>
      </c>
      <c r="P553" s="72">
        <v>1</v>
      </c>
      <c r="Q553" s="47">
        <v>0.105</v>
      </c>
    </row>
    <row r="554" customHeight="1" spans="1:17">
      <c r="A554" s="67">
        <v>8072</v>
      </c>
      <c r="B554" s="68" t="s">
        <v>74</v>
      </c>
      <c r="C554" s="70" t="s">
        <v>47</v>
      </c>
      <c r="D554" s="68">
        <v>6</v>
      </c>
      <c r="E554" s="70" t="s">
        <v>39</v>
      </c>
      <c r="F554" s="71">
        <v>1.57</v>
      </c>
      <c r="G554" s="71">
        <f t="shared" si="55"/>
        <v>9.42</v>
      </c>
      <c r="H554" s="68" t="s">
        <v>75</v>
      </c>
      <c r="I554" s="81"/>
      <c r="J554" s="152"/>
      <c r="K554" s="81"/>
      <c r="L554" s="81"/>
      <c r="M554" s="81"/>
      <c r="N554" s="81"/>
      <c r="O554" s="75">
        <v>405398</v>
      </c>
      <c r="P554" s="72">
        <v>3</v>
      </c>
      <c r="Q554" s="72">
        <v>0.72</v>
      </c>
    </row>
    <row r="555" customHeight="1" spans="1:17">
      <c r="A555" s="67">
        <v>18588</v>
      </c>
      <c r="B555" s="68" t="s">
        <v>109</v>
      </c>
      <c r="C555" s="70" t="s">
        <v>81</v>
      </c>
      <c r="D555" s="68">
        <v>25</v>
      </c>
      <c r="E555" s="70" t="s">
        <v>39</v>
      </c>
      <c r="F555" s="71">
        <v>3.47</v>
      </c>
      <c r="G555" s="71">
        <f t="shared" si="55"/>
        <v>86.75</v>
      </c>
      <c r="H555" s="68">
        <v>104</v>
      </c>
      <c r="I555" s="68">
        <v>25</v>
      </c>
      <c r="J555" s="142">
        <f>D555/I555</f>
        <v>1</v>
      </c>
      <c r="K555" s="68">
        <v>14.13</v>
      </c>
      <c r="L555" s="68">
        <v>15.23</v>
      </c>
      <c r="M555" s="68">
        <f>L555*J555</f>
        <v>15.23</v>
      </c>
      <c r="N555" s="68" t="s">
        <v>108</v>
      </c>
      <c r="O555" s="75">
        <v>405398</v>
      </c>
      <c r="P555" s="47"/>
      <c r="Q555" s="47"/>
    </row>
    <row r="556" customHeight="1" spans="1:17">
      <c r="A556" s="67">
        <v>18434</v>
      </c>
      <c r="B556" s="68" t="s">
        <v>110</v>
      </c>
      <c r="C556" s="70" t="s">
        <v>81</v>
      </c>
      <c r="D556" s="68">
        <v>2</v>
      </c>
      <c r="E556" s="92" t="s">
        <v>39</v>
      </c>
      <c r="F556" s="71">
        <v>3.4</v>
      </c>
      <c r="G556" s="71">
        <f t="shared" si="55"/>
        <v>6.8</v>
      </c>
      <c r="H556" s="80">
        <v>104</v>
      </c>
      <c r="I556" s="80">
        <v>24</v>
      </c>
      <c r="J556" s="143">
        <v>1</v>
      </c>
      <c r="K556" s="80">
        <v>13.68</v>
      </c>
      <c r="L556" s="80">
        <v>14.68</v>
      </c>
      <c r="M556" s="80">
        <f>L556*J556</f>
        <v>14.68</v>
      </c>
      <c r="N556" s="80" t="s">
        <v>108</v>
      </c>
      <c r="O556" s="75">
        <v>405398</v>
      </c>
      <c r="P556" s="99">
        <v>1.18</v>
      </c>
      <c r="Q556" s="47"/>
    </row>
    <row r="557" customHeight="1" spans="1:17">
      <c r="A557" s="67">
        <v>18536</v>
      </c>
      <c r="B557" s="68" t="s">
        <v>111</v>
      </c>
      <c r="C557" s="70" t="s">
        <v>81</v>
      </c>
      <c r="D557" s="68">
        <v>2</v>
      </c>
      <c r="E557" s="92" t="s">
        <v>39</v>
      </c>
      <c r="F557" s="71">
        <v>3.88</v>
      </c>
      <c r="G557" s="71">
        <f t="shared" si="55"/>
        <v>7.76</v>
      </c>
      <c r="H557" s="81"/>
      <c r="I557" s="81"/>
      <c r="J557" s="152"/>
      <c r="K557" s="81"/>
      <c r="L557" s="81"/>
      <c r="M557" s="81"/>
      <c r="N557" s="81"/>
      <c r="O557" s="75">
        <v>405398</v>
      </c>
      <c r="P557" s="99">
        <v>1.19</v>
      </c>
      <c r="Q557" s="47"/>
    </row>
    <row r="558" customHeight="1" spans="1:17">
      <c r="A558" s="67">
        <v>18588</v>
      </c>
      <c r="B558" s="68" t="s">
        <v>112</v>
      </c>
      <c r="C558" s="70" t="s">
        <v>81</v>
      </c>
      <c r="D558" s="68">
        <v>9</v>
      </c>
      <c r="E558" s="70" t="s">
        <v>39</v>
      </c>
      <c r="F558" s="71">
        <v>3.47</v>
      </c>
      <c r="G558" s="71">
        <f t="shared" si="55"/>
        <v>31.23</v>
      </c>
      <c r="H558" s="81"/>
      <c r="I558" s="81"/>
      <c r="J558" s="152"/>
      <c r="K558" s="81"/>
      <c r="L558" s="81"/>
      <c r="M558" s="81"/>
      <c r="N558" s="81"/>
      <c r="O558" s="75">
        <v>405398</v>
      </c>
      <c r="P558" s="99">
        <v>5.09</v>
      </c>
      <c r="Q558" s="47"/>
    </row>
    <row r="559" customHeight="1" spans="1:17">
      <c r="A559" s="67">
        <v>18588</v>
      </c>
      <c r="B559" s="68" t="s">
        <v>109</v>
      </c>
      <c r="C559" s="70" t="s">
        <v>81</v>
      </c>
      <c r="D559" s="68">
        <v>11</v>
      </c>
      <c r="E559" s="70" t="s">
        <v>39</v>
      </c>
      <c r="F559" s="71">
        <v>3.47</v>
      </c>
      <c r="G559" s="71">
        <f t="shared" si="55"/>
        <v>38.17</v>
      </c>
      <c r="H559" s="79"/>
      <c r="I559" s="79"/>
      <c r="J559" s="144"/>
      <c r="K559" s="79"/>
      <c r="L559" s="79"/>
      <c r="M559" s="79"/>
      <c r="N559" s="79"/>
      <c r="O559" s="75">
        <v>405398</v>
      </c>
      <c r="P559" s="99">
        <v>6.22</v>
      </c>
      <c r="Q559" s="47"/>
    </row>
    <row r="560" customHeight="1" spans="1:17">
      <c r="A560" s="67"/>
      <c r="B560" s="68"/>
      <c r="C560" s="70">
        <v>64</v>
      </c>
      <c r="D560" s="68"/>
      <c r="E560" s="70"/>
      <c r="F560" s="71"/>
      <c r="G560" s="71"/>
      <c r="H560" s="68"/>
      <c r="I560" s="68"/>
      <c r="J560" s="68"/>
      <c r="K560" s="68"/>
      <c r="L560" s="68"/>
      <c r="M560" s="68"/>
      <c r="N560" s="68"/>
      <c r="O560" s="75"/>
      <c r="P560" s="47"/>
      <c r="Q560" s="47"/>
    </row>
    <row r="561" customHeight="1" spans="1:17">
      <c r="A561" s="67">
        <v>18264</v>
      </c>
      <c r="B561" s="68" t="s">
        <v>113</v>
      </c>
      <c r="C561" s="69" t="s">
        <v>81</v>
      </c>
      <c r="D561" s="68">
        <v>100</v>
      </c>
      <c r="E561" s="69" t="s">
        <v>39</v>
      </c>
      <c r="F561" s="71">
        <v>3.56</v>
      </c>
      <c r="G561" s="74">
        <f>F561*D561</f>
        <v>356</v>
      </c>
      <c r="H561" s="78">
        <v>105</v>
      </c>
      <c r="I561" s="79">
        <v>25</v>
      </c>
      <c r="J561" s="144">
        <f t="shared" ref="J561:J566" si="56">D561/I561</f>
        <v>4</v>
      </c>
      <c r="K561" s="79">
        <v>16.75</v>
      </c>
      <c r="L561" s="79">
        <v>18.05</v>
      </c>
      <c r="M561" s="79">
        <f t="shared" ref="M561:M567" si="57">L561*J561</f>
        <v>72.2</v>
      </c>
      <c r="N561" s="79" t="s">
        <v>72</v>
      </c>
      <c r="O561" s="75">
        <v>405398</v>
      </c>
      <c r="P561" s="47"/>
      <c r="Q561" s="47"/>
    </row>
    <row r="562" customHeight="1" spans="1:17">
      <c r="A562" s="67">
        <v>18408</v>
      </c>
      <c r="B562" s="68" t="s">
        <v>114</v>
      </c>
      <c r="C562" s="69" t="s">
        <v>81</v>
      </c>
      <c r="D562" s="68">
        <v>25</v>
      </c>
      <c r="E562" s="69" t="s">
        <v>39</v>
      </c>
      <c r="F562" s="71">
        <v>3.43</v>
      </c>
      <c r="G562" s="74">
        <f>F562*D562</f>
        <v>85.75</v>
      </c>
      <c r="H562" s="78">
        <v>105</v>
      </c>
      <c r="I562" s="79">
        <v>25</v>
      </c>
      <c r="J562" s="144">
        <f t="shared" si="56"/>
        <v>1</v>
      </c>
      <c r="K562" s="79">
        <v>15.25</v>
      </c>
      <c r="L562" s="79">
        <v>16.55</v>
      </c>
      <c r="M562" s="79">
        <f t="shared" si="57"/>
        <v>16.55</v>
      </c>
      <c r="N562" s="79" t="s">
        <v>72</v>
      </c>
      <c r="O562" s="75">
        <v>405398</v>
      </c>
      <c r="P562" s="47"/>
      <c r="Q562" s="47"/>
    </row>
    <row r="563" customHeight="1" spans="1:17">
      <c r="A563" s="67">
        <v>18416</v>
      </c>
      <c r="B563" s="68" t="s">
        <v>115</v>
      </c>
      <c r="C563" s="70" t="s">
        <v>81</v>
      </c>
      <c r="D563" s="68">
        <v>50</v>
      </c>
      <c r="E563" s="70" t="s">
        <v>39</v>
      </c>
      <c r="F563" s="71">
        <v>3.68</v>
      </c>
      <c r="G563" s="71">
        <f>F563*D563</f>
        <v>184</v>
      </c>
      <c r="H563" s="68">
        <v>105</v>
      </c>
      <c r="I563" s="68">
        <v>25</v>
      </c>
      <c r="J563" s="142">
        <f t="shared" si="56"/>
        <v>2</v>
      </c>
      <c r="K563" s="68">
        <v>13.88</v>
      </c>
      <c r="L563" s="68">
        <v>14.88</v>
      </c>
      <c r="M563" s="68">
        <f t="shared" si="57"/>
        <v>29.76</v>
      </c>
      <c r="N563" s="68" t="s">
        <v>72</v>
      </c>
      <c r="O563" s="75">
        <v>405398</v>
      </c>
      <c r="P563" s="47"/>
      <c r="Q563" s="47"/>
    </row>
    <row r="564" customHeight="1" spans="1:17">
      <c r="A564" s="67">
        <v>18463</v>
      </c>
      <c r="B564" s="68" t="s">
        <v>116</v>
      </c>
      <c r="C564" s="70" t="s">
        <v>81</v>
      </c>
      <c r="D564" s="68">
        <v>25</v>
      </c>
      <c r="E564" s="70" t="s">
        <v>39</v>
      </c>
      <c r="F564" s="71">
        <v>4.16</v>
      </c>
      <c r="G564" s="71">
        <f>F564*D564</f>
        <v>104</v>
      </c>
      <c r="H564" s="68">
        <v>105</v>
      </c>
      <c r="I564" s="68">
        <v>25</v>
      </c>
      <c r="J564" s="142">
        <f t="shared" si="56"/>
        <v>1</v>
      </c>
      <c r="K564" s="68">
        <v>18.75</v>
      </c>
      <c r="L564" s="68">
        <v>20.05</v>
      </c>
      <c r="M564" s="68">
        <f t="shared" si="57"/>
        <v>20.05</v>
      </c>
      <c r="N564" s="68" t="s">
        <v>72</v>
      </c>
      <c r="O564" s="75">
        <v>405398</v>
      </c>
      <c r="P564" s="47"/>
      <c r="Q564" s="47"/>
    </row>
    <row r="565" customHeight="1" spans="1:17">
      <c r="A565" s="67">
        <v>18877</v>
      </c>
      <c r="B565" s="68" t="s">
        <v>118</v>
      </c>
      <c r="C565" s="70" t="s">
        <v>81</v>
      </c>
      <c r="D565" s="68">
        <v>23</v>
      </c>
      <c r="E565" s="70" t="s">
        <v>39</v>
      </c>
      <c r="F565" s="76">
        <v>2.7</v>
      </c>
      <c r="G565" s="88">
        <f t="shared" ref="G565:G575" si="58">F565*D565</f>
        <v>62.1</v>
      </c>
      <c r="H565" s="68">
        <v>105</v>
      </c>
      <c r="I565" s="68">
        <v>23</v>
      </c>
      <c r="J565" s="142">
        <f t="shared" si="56"/>
        <v>1</v>
      </c>
      <c r="K565" s="68">
        <v>8.97</v>
      </c>
      <c r="L565" s="68">
        <v>9.97</v>
      </c>
      <c r="M565" s="68">
        <f t="shared" si="57"/>
        <v>9.97</v>
      </c>
      <c r="N565" s="68" t="s">
        <v>72</v>
      </c>
      <c r="O565" s="23">
        <v>420867</v>
      </c>
      <c r="P565" s="47"/>
      <c r="Q565" s="47"/>
    </row>
    <row r="566" customHeight="1" spans="1:17">
      <c r="A566" s="67">
        <v>18877</v>
      </c>
      <c r="B566" s="68" t="s">
        <v>118</v>
      </c>
      <c r="C566" s="70" t="s">
        <v>81</v>
      </c>
      <c r="D566" s="68">
        <v>25</v>
      </c>
      <c r="E566" s="70" t="s">
        <v>39</v>
      </c>
      <c r="F566" s="76">
        <v>2.7</v>
      </c>
      <c r="G566" s="88">
        <f t="shared" si="58"/>
        <v>67.5</v>
      </c>
      <c r="H566" s="68">
        <v>105</v>
      </c>
      <c r="I566" s="68">
        <v>25</v>
      </c>
      <c r="J566" s="142">
        <f t="shared" si="56"/>
        <v>1</v>
      </c>
      <c r="K566" s="68">
        <v>9.75</v>
      </c>
      <c r="L566" s="68">
        <v>11.05</v>
      </c>
      <c r="M566" s="68">
        <f t="shared" si="57"/>
        <v>11.05</v>
      </c>
      <c r="N566" s="68" t="s">
        <v>72</v>
      </c>
      <c r="O566" s="23">
        <v>420867</v>
      </c>
      <c r="P566" s="47"/>
      <c r="Q566" s="47"/>
    </row>
    <row r="567" customHeight="1" spans="1:17">
      <c r="A567" s="67">
        <v>18264</v>
      </c>
      <c r="B567" s="68" t="s">
        <v>113</v>
      </c>
      <c r="C567" s="70" t="s">
        <v>81</v>
      </c>
      <c r="D567" s="68">
        <v>18</v>
      </c>
      <c r="E567" s="70" t="s">
        <v>39</v>
      </c>
      <c r="F567" s="71">
        <v>3.56</v>
      </c>
      <c r="G567" s="71">
        <f t="shared" si="58"/>
        <v>64.08</v>
      </c>
      <c r="H567" s="80">
        <v>105</v>
      </c>
      <c r="I567" s="80">
        <v>25</v>
      </c>
      <c r="J567" s="143">
        <v>1</v>
      </c>
      <c r="K567" s="80">
        <v>15.9</v>
      </c>
      <c r="L567" s="80">
        <v>16.9</v>
      </c>
      <c r="M567" s="80">
        <f t="shared" si="57"/>
        <v>16.9</v>
      </c>
      <c r="N567" s="80" t="s">
        <v>72</v>
      </c>
      <c r="O567" s="75">
        <v>405398</v>
      </c>
      <c r="P567" s="47">
        <v>12.06</v>
      </c>
      <c r="Q567" s="47"/>
    </row>
    <row r="568" customHeight="1" spans="1:17">
      <c r="A568" s="67">
        <v>18416</v>
      </c>
      <c r="B568" s="68" t="s">
        <v>115</v>
      </c>
      <c r="C568" s="70" t="s">
        <v>81</v>
      </c>
      <c r="D568" s="68">
        <v>7</v>
      </c>
      <c r="E568" s="70" t="s">
        <v>39</v>
      </c>
      <c r="F568" s="71">
        <v>3.68</v>
      </c>
      <c r="G568" s="71">
        <f t="shared" si="58"/>
        <v>25.76</v>
      </c>
      <c r="H568" s="79"/>
      <c r="I568" s="79"/>
      <c r="J568" s="144"/>
      <c r="K568" s="79"/>
      <c r="L568" s="79"/>
      <c r="M568" s="79"/>
      <c r="N568" s="79"/>
      <c r="O568" s="75">
        <v>405398</v>
      </c>
      <c r="P568" s="47">
        <v>3.8864</v>
      </c>
      <c r="Q568" s="47"/>
    </row>
    <row r="569" customHeight="1" spans="1:17">
      <c r="A569" s="67">
        <v>18228</v>
      </c>
      <c r="B569" s="68" t="s">
        <v>119</v>
      </c>
      <c r="C569" s="70" t="s">
        <v>81</v>
      </c>
      <c r="D569" s="68">
        <v>9</v>
      </c>
      <c r="E569" s="70" t="s">
        <v>39</v>
      </c>
      <c r="F569" s="71">
        <v>3.29</v>
      </c>
      <c r="G569" s="71">
        <f t="shared" si="58"/>
        <v>29.61</v>
      </c>
      <c r="H569" s="68">
        <v>105</v>
      </c>
      <c r="I569" s="68">
        <v>24</v>
      </c>
      <c r="J569" s="142">
        <v>1</v>
      </c>
      <c r="K569" s="68">
        <v>16.3</v>
      </c>
      <c r="L569" s="68">
        <v>17.3</v>
      </c>
      <c r="M569" s="68">
        <f>L569*J569</f>
        <v>17.3</v>
      </c>
      <c r="N569" s="68" t="s">
        <v>72</v>
      </c>
      <c r="O569" s="75">
        <v>405398</v>
      </c>
      <c r="P569" s="47">
        <v>5.2632</v>
      </c>
      <c r="Q569" s="47"/>
    </row>
    <row r="570" customHeight="1" spans="1:17">
      <c r="A570" s="67">
        <v>18463</v>
      </c>
      <c r="B570" s="68" t="s">
        <v>116</v>
      </c>
      <c r="C570" s="70" t="s">
        <v>81</v>
      </c>
      <c r="D570" s="68">
        <v>13</v>
      </c>
      <c r="E570" s="70" t="s">
        <v>39</v>
      </c>
      <c r="F570" s="71">
        <v>4.16</v>
      </c>
      <c r="G570" s="71">
        <f t="shared" si="58"/>
        <v>54.08</v>
      </c>
      <c r="H570" s="68"/>
      <c r="I570" s="68"/>
      <c r="J570" s="142"/>
      <c r="K570" s="68"/>
      <c r="L570" s="68"/>
      <c r="M570" s="68"/>
      <c r="N570" s="68"/>
      <c r="O570" s="75">
        <v>405398</v>
      </c>
      <c r="P570" s="47">
        <v>9.75</v>
      </c>
      <c r="Q570" s="47"/>
    </row>
    <row r="571" customHeight="1" spans="1:17">
      <c r="A571" s="67">
        <v>18464</v>
      </c>
      <c r="B571" s="68" t="s">
        <v>120</v>
      </c>
      <c r="C571" s="70" t="s">
        <v>81</v>
      </c>
      <c r="D571" s="68">
        <v>2</v>
      </c>
      <c r="E571" s="70" t="s">
        <v>39</v>
      </c>
      <c r="F571" s="71">
        <v>3.74</v>
      </c>
      <c r="G571" s="71">
        <f t="shared" si="58"/>
        <v>7.48</v>
      </c>
      <c r="H571" s="68"/>
      <c r="I571" s="68"/>
      <c r="J571" s="142"/>
      <c r="K571" s="68"/>
      <c r="L571" s="68"/>
      <c r="M571" s="68"/>
      <c r="N571" s="68"/>
      <c r="O571" s="75">
        <v>405398</v>
      </c>
      <c r="P571" s="47">
        <v>1.3</v>
      </c>
      <c r="Q571" s="47"/>
    </row>
    <row r="572" customHeight="1" spans="1:17">
      <c r="A572" s="67">
        <v>18621</v>
      </c>
      <c r="B572" s="68" t="s">
        <v>117</v>
      </c>
      <c r="C572" s="70" t="s">
        <v>81</v>
      </c>
      <c r="D572" s="68">
        <v>6</v>
      </c>
      <c r="E572" s="70" t="s">
        <v>39</v>
      </c>
      <c r="F572" s="71">
        <v>3.8</v>
      </c>
      <c r="G572" s="71">
        <f t="shared" si="58"/>
        <v>22.8</v>
      </c>
      <c r="H572" s="80">
        <v>105</v>
      </c>
      <c r="I572" s="80">
        <v>25</v>
      </c>
      <c r="J572" s="143">
        <v>1</v>
      </c>
      <c r="K572" s="80">
        <v>11.6</v>
      </c>
      <c r="L572" s="80">
        <v>12.6</v>
      </c>
      <c r="M572" s="80">
        <f>L572*J572</f>
        <v>12.6</v>
      </c>
      <c r="N572" s="80" t="s">
        <v>72</v>
      </c>
      <c r="O572" s="75">
        <v>405398</v>
      </c>
      <c r="P572" s="47">
        <v>3.7512</v>
      </c>
      <c r="Q572" s="47"/>
    </row>
    <row r="573" customHeight="1" spans="1:17">
      <c r="A573" s="67">
        <v>18877</v>
      </c>
      <c r="B573" s="68" t="s">
        <v>118</v>
      </c>
      <c r="C573" s="70" t="s">
        <v>81</v>
      </c>
      <c r="D573" s="68">
        <v>17</v>
      </c>
      <c r="E573" s="70" t="s">
        <v>39</v>
      </c>
      <c r="F573" s="71">
        <v>2.7</v>
      </c>
      <c r="G573" s="71">
        <f t="shared" si="58"/>
        <v>45.9</v>
      </c>
      <c r="H573" s="81"/>
      <c r="I573" s="81"/>
      <c r="J573" s="152"/>
      <c r="K573" s="81"/>
      <c r="L573" s="81"/>
      <c r="M573" s="81"/>
      <c r="N573" s="81"/>
      <c r="O573" s="75">
        <v>405398</v>
      </c>
      <c r="P573" s="47">
        <v>6.63</v>
      </c>
      <c r="Q573" s="47"/>
    </row>
    <row r="574" customHeight="1" spans="1:17">
      <c r="A574" s="67">
        <v>18053</v>
      </c>
      <c r="B574" s="68" t="s">
        <v>121</v>
      </c>
      <c r="C574" s="70" t="s">
        <v>81</v>
      </c>
      <c r="D574" s="68">
        <v>1</v>
      </c>
      <c r="E574" s="70" t="s">
        <v>39</v>
      </c>
      <c r="F574" s="71">
        <v>3.9</v>
      </c>
      <c r="G574" s="71">
        <f t="shared" si="58"/>
        <v>3.9</v>
      </c>
      <c r="H574" s="81"/>
      <c r="I574" s="81"/>
      <c r="J574" s="152"/>
      <c r="K574" s="81"/>
      <c r="L574" s="81"/>
      <c r="M574" s="81"/>
      <c r="N574" s="81"/>
      <c r="O574" s="75">
        <v>405398</v>
      </c>
      <c r="P574" s="47">
        <v>0.6552</v>
      </c>
      <c r="Q574" s="47"/>
    </row>
    <row r="575" customHeight="1" spans="1:17">
      <c r="A575" s="67">
        <v>18057</v>
      </c>
      <c r="B575" s="68" t="s">
        <v>122</v>
      </c>
      <c r="C575" s="70" t="s">
        <v>81</v>
      </c>
      <c r="D575" s="68">
        <v>1</v>
      </c>
      <c r="E575" s="70" t="s">
        <v>39</v>
      </c>
      <c r="F575" s="71">
        <v>3.78</v>
      </c>
      <c r="G575" s="71">
        <f t="shared" si="58"/>
        <v>3.78</v>
      </c>
      <c r="H575" s="79"/>
      <c r="I575" s="79"/>
      <c r="J575" s="144"/>
      <c r="K575" s="79"/>
      <c r="L575" s="79"/>
      <c r="M575" s="79"/>
      <c r="N575" s="79"/>
      <c r="O575" s="75">
        <v>405398</v>
      </c>
      <c r="P575" s="47">
        <v>0.592</v>
      </c>
      <c r="Q575" s="47"/>
    </row>
    <row r="576" customHeight="1" spans="1:17">
      <c r="A576" s="67">
        <v>18841</v>
      </c>
      <c r="B576" s="68" t="s">
        <v>149</v>
      </c>
      <c r="C576" s="70" t="s">
        <v>81</v>
      </c>
      <c r="D576" s="68">
        <v>14</v>
      </c>
      <c r="E576" s="70" t="s">
        <v>39</v>
      </c>
      <c r="F576" s="71">
        <v>5.78</v>
      </c>
      <c r="G576" s="71">
        <f t="shared" ref="G576:G604" si="59">F576*D576</f>
        <v>80.92</v>
      </c>
      <c r="H576" s="80">
        <v>106</v>
      </c>
      <c r="I576" s="80">
        <v>25</v>
      </c>
      <c r="J576" s="132">
        <v>1</v>
      </c>
      <c r="K576" s="80">
        <v>17.3</v>
      </c>
      <c r="L576" s="80">
        <v>18.3</v>
      </c>
      <c r="M576" s="80">
        <f>L576*J576</f>
        <v>18.3</v>
      </c>
      <c r="N576" s="80" t="s">
        <v>129</v>
      </c>
      <c r="O576" s="75">
        <v>405398</v>
      </c>
      <c r="P576" s="47">
        <v>10.36</v>
      </c>
      <c r="Q576" s="47"/>
    </row>
    <row r="577" customHeight="1" spans="1:17">
      <c r="A577" s="67">
        <v>18703</v>
      </c>
      <c r="B577" s="68" t="s">
        <v>150</v>
      </c>
      <c r="C577" s="70" t="s">
        <v>81</v>
      </c>
      <c r="D577" s="68">
        <v>5</v>
      </c>
      <c r="E577" s="70" t="s">
        <v>39</v>
      </c>
      <c r="F577" s="71">
        <v>12.1</v>
      </c>
      <c r="G577" s="71">
        <f t="shared" si="59"/>
        <v>60.5</v>
      </c>
      <c r="H577" s="81"/>
      <c r="I577" s="81"/>
      <c r="J577" s="133"/>
      <c r="K577" s="81"/>
      <c r="L577" s="81"/>
      <c r="M577" s="81"/>
      <c r="N577" s="81"/>
      <c r="O577" s="75">
        <v>405398</v>
      </c>
      <c r="P577" s="47">
        <v>2.6</v>
      </c>
      <c r="Q577" s="47"/>
    </row>
    <row r="578" customHeight="1" spans="1:17">
      <c r="A578" s="67">
        <v>19563</v>
      </c>
      <c r="B578" s="68" t="s">
        <v>151</v>
      </c>
      <c r="C578" s="70" t="s">
        <v>81</v>
      </c>
      <c r="D578" s="68">
        <v>6</v>
      </c>
      <c r="E578" s="70" t="s">
        <v>39</v>
      </c>
      <c r="F578" s="71">
        <v>6.45</v>
      </c>
      <c r="G578" s="71">
        <f t="shared" si="59"/>
        <v>38.7</v>
      </c>
      <c r="H578" s="79"/>
      <c r="I578" s="79"/>
      <c r="J578" s="134"/>
      <c r="K578" s="79"/>
      <c r="L578" s="79"/>
      <c r="M578" s="79"/>
      <c r="N578" s="79"/>
      <c r="O578" s="75">
        <v>405398</v>
      </c>
      <c r="P578" s="47">
        <v>4.272</v>
      </c>
      <c r="Q578" s="47"/>
    </row>
    <row r="579" customHeight="1" spans="1:17">
      <c r="A579" s="67">
        <v>18297</v>
      </c>
      <c r="B579" s="68" t="s">
        <v>152</v>
      </c>
      <c r="C579" s="70" t="s">
        <v>81</v>
      </c>
      <c r="D579" s="68">
        <v>5</v>
      </c>
      <c r="E579" s="70" t="s">
        <v>39</v>
      </c>
      <c r="F579" s="71">
        <v>4.09</v>
      </c>
      <c r="G579" s="71">
        <f t="shared" si="59"/>
        <v>20.45</v>
      </c>
      <c r="H579" s="81">
        <v>106</v>
      </c>
      <c r="I579" s="81">
        <v>10</v>
      </c>
      <c r="J579" s="133">
        <v>1</v>
      </c>
      <c r="K579" s="81">
        <v>7.02</v>
      </c>
      <c r="L579" s="81">
        <v>8.02</v>
      </c>
      <c r="M579" s="81">
        <f>L579*J579</f>
        <v>8.02</v>
      </c>
      <c r="N579" s="81" t="s">
        <v>131</v>
      </c>
      <c r="O579" s="75">
        <v>405398</v>
      </c>
      <c r="P579" s="47">
        <v>3.176</v>
      </c>
      <c r="Q579" s="47"/>
    </row>
    <row r="580" customHeight="1" spans="1:17">
      <c r="A580" s="67">
        <v>18586</v>
      </c>
      <c r="B580" s="68" t="s">
        <v>133</v>
      </c>
      <c r="C580" s="70" t="s">
        <v>81</v>
      </c>
      <c r="D580" s="68">
        <v>5</v>
      </c>
      <c r="E580" s="70" t="s">
        <v>39</v>
      </c>
      <c r="F580" s="71">
        <v>5.33</v>
      </c>
      <c r="G580" s="71">
        <f t="shared" si="59"/>
        <v>26.65</v>
      </c>
      <c r="H580" s="79"/>
      <c r="I580" s="79"/>
      <c r="J580" s="134"/>
      <c r="K580" s="79"/>
      <c r="L580" s="79"/>
      <c r="M580" s="79"/>
      <c r="N580" s="79"/>
      <c r="O580" s="75">
        <v>405398</v>
      </c>
      <c r="P580" s="47">
        <v>3.85</v>
      </c>
      <c r="Q580" s="47"/>
    </row>
    <row r="581" customHeight="1" spans="1:17">
      <c r="A581" s="67">
        <v>18714</v>
      </c>
      <c r="B581" s="68" t="s">
        <v>153</v>
      </c>
      <c r="C581" s="70" t="s">
        <v>81</v>
      </c>
      <c r="D581" s="68">
        <v>1</v>
      </c>
      <c r="E581" s="70" t="s">
        <v>39</v>
      </c>
      <c r="F581" s="71">
        <v>12.76</v>
      </c>
      <c r="G581" s="71">
        <f t="shared" si="59"/>
        <v>12.76</v>
      </c>
      <c r="H581" s="68">
        <v>106</v>
      </c>
      <c r="I581" s="68">
        <v>25</v>
      </c>
      <c r="J581" s="131">
        <v>1</v>
      </c>
      <c r="K581" s="68">
        <v>19.7</v>
      </c>
      <c r="L581" s="68">
        <v>20.7</v>
      </c>
      <c r="M581" s="68">
        <f>L581*J581</f>
        <v>20.7</v>
      </c>
      <c r="N581" s="68" t="s">
        <v>129</v>
      </c>
      <c r="O581" s="75">
        <v>405398</v>
      </c>
      <c r="P581" s="47">
        <v>0.72</v>
      </c>
      <c r="Q581" s="47"/>
    </row>
    <row r="582" customHeight="1" spans="1:17">
      <c r="A582" s="67">
        <v>18719</v>
      </c>
      <c r="B582" s="68" t="s">
        <v>154</v>
      </c>
      <c r="C582" s="70" t="s">
        <v>81</v>
      </c>
      <c r="D582" s="68">
        <v>1</v>
      </c>
      <c r="E582" s="70" t="s">
        <v>39</v>
      </c>
      <c r="F582" s="71">
        <v>12.95</v>
      </c>
      <c r="G582" s="71">
        <f t="shared" si="59"/>
        <v>12.95</v>
      </c>
      <c r="H582" s="68"/>
      <c r="I582" s="68"/>
      <c r="J582" s="131"/>
      <c r="K582" s="68"/>
      <c r="L582" s="68"/>
      <c r="M582" s="68"/>
      <c r="N582" s="68"/>
      <c r="O582" s="75">
        <v>405398</v>
      </c>
      <c r="P582" s="47">
        <v>0.6752</v>
      </c>
      <c r="Q582" s="47"/>
    </row>
    <row r="583" customHeight="1" spans="1:17">
      <c r="A583" s="67">
        <v>18561</v>
      </c>
      <c r="B583" s="68" t="s">
        <v>132</v>
      </c>
      <c r="C583" s="70" t="s">
        <v>81</v>
      </c>
      <c r="D583" s="68">
        <v>16</v>
      </c>
      <c r="E583" s="70" t="s">
        <v>39</v>
      </c>
      <c r="F583" s="71">
        <v>5.63</v>
      </c>
      <c r="G583" s="71">
        <f t="shared" si="59"/>
        <v>90.08</v>
      </c>
      <c r="H583" s="68"/>
      <c r="I583" s="68"/>
      <c r="J583" s="131"/>
      <c r="K583" s="68"/>
      <c r="L583" s="68"/>
      <c r="M583" s="68"/>
      <c r="N583" s="68"/>
      <c r="O583" s="75">
        <v>405398</v>
      </c>
      <c r="P583" s="47">
        <v>13.28</v>
      </c>
      <c r="Q583" s="47"/>
    </row>
    <row r="584" customHeight="1" spans="1:17">
      <c r="A584" s="67">
        <v>18293</v>
      </c>
      <c r="B584" s="68" t="s">
        <v>155</v>
      </c>
      <c r="C584" s="70" t="s">
        <v>81</v>
      </c>
      <c r="D584" s="68">
        <v>5</v>
      </c>
      <c r="E584" s="70" t="s">
        <v>39</v>
      </c>
      <c r="F584" s="71">
        <v>3.67</v>
      </c>
      <c r="G584" s="71">
        <f t="shared" si="59"/>
        <v>18.35</v>
      </c>
      <c r="H584" s="68"/>
      <c r="I584" s="68"/>
      <c r="J584" s="131"/>
      <c r="K584" s="68"/>
      <c r="L584" s="68"/>
      <c r="M584" s="68"/>
      <c r="N584" s="68"/>
      <c r="O584" s="75">
        <v>405398</v>
      </c>
      <c r="P584" s="47">
        <v>2.9</v>
      </c>
      <c r="Q584" s="47"/>
    </row>
    <row r="585" customHeight="1" spans="1:17">
      <c r="A585" s="67">
        <v>18043</v>
      </c>
      <c r="B585" s="68" t="s">
        <v>156</v>
      </c>
      <c r="C585" s="70" t="s">
        <v>81</v>
      </c>
      <c r="D585" s="68">
        <v>2</v>
      </c>
      <c r="E585" s="70" t="s">
        <v>39</v>
      </c>
      <c r="F585" s="71">
        <v>9.07</v>
      </c>
      <c r="G585" s="71">
        <f t="shared" si="59"/>
        <v>18.14</v>
      </c>
      <c r="H585" s="103"/>
      <c r="I585" s="103"/>
      <c r="J585" s="153"/>
      <c r="K585" s="103"/>
      <c r="L585" s="103"/>
      <c r="M585" s="103"/>
      <c r="N585" s="103"/>
      <c r="O585" s="75">
        <v>405398</v>
      </c>
      <c r="P585" s="47">
        <v>2.1496</v>
      </c>
      <c r="Q585" s="47"/>
    </row>
    <row r="586" customHeight="1" spans="1:17">
      <c r="A586" s="67">
        <v>18642</v>
      </c>
      <c r="B586" s="68" t="s">
        <v>157</v>
      </c>
      <c r="C586" s="70" t="s">
        <v>81</v>
      </c>
      <c r="D586" s="68">
        <v>11</v>
      </c>
      <c r="E586" s="70" t="s">
        <v>39</v>
      </c>
      <c r="F586" s="71">
        <v>5.18</v>
      </c>
      <c r="G586" s="71">
        <f t="shared" si="59"/>
        <v>56.98</v>
      </c>
      <c r="H586" s="80">
        <v>106</v>
      </c>
      <c r="I586" s="80">
        <v>24</v>
      </c>
      <c r="J586" s="132">
        <v>1</v>
      </c>
      <c r="K586" s="80">
        <v>21.7</v>
      </c>
      <c r="L586" s="80">
        <v>22.7</v>
      </c>
      <c r="M586" s="80">
        <f>L586*J586</f>
        <v>22.7</v>
      </c>
      <c r="N586" s="80" t="s">
        <v>129</v>
      </c>
      <c r="O586" s="75">
        <v>405398</v>
      </c>
      <c r="P586" s="47">
        <v>9.79</v>
      </c>
      <c r="Q586" s="47"/>
    </row>
    <row r="587" customHeight="1" spans="1:17">
      <c r="A587" s="67">
        <v>18709</v>
      </c>
      <c r="B587" s="68" t="s">
        <v>158</v>
      </c>
      <c r="C587" s="70" t="s">
        <v>81</v>
      </c>
      <c r="D587" s="68">
        <v>1</v>
      </c>
      <c r="E587" s="70" t="s">
        <v>39</v>
      </c>
      <c r="F587" s="71">
        <v>12.42</v>
      </c>
      <c r="G587" s="71">
        <f t="shared" si="59"/>
        <v>12.42</v>
      </c>
      <c r="H587" s="81"/>
      <c r="I587" s="81"/>
      <c r="J587" s="133"/>
      <c r="K587" s="81"/>
      <c r="L587" s="81"/>
      <c r="M587" s="81"/>
      <c r="N587" s="81"/>
      <c r="O587" s="75">
        <v>405398</v>
      </c>
      <c r="P587" s="47">
        <v>0.7252</v>
      </c>
      <c r="Q587" s="47"/>
    </row>
    <row r="588" customHeight="1" spans="1:17">
      <c r="A588" s="67">
        <v>18012</v>
      </c>
      <c r="B588" s="68" t="s">
        <v>159</v>
      </c>
      <c r="C588" s="70" t="s">
        <v>81</v>
      </c>
      <c r="D588" s="68">
        <v>1</v>
      </c>
      <c r="E588" s="70" t="s">
        <v>39</v>
      </c>
      <c r="F588" s="71">
        <v>8.76</v>
      </c>
      <c r="G588" s="71">
        <f t="shared" si="59"/>
        <v>8.76</v>
      </c>
      <c r="H588" s="81"/>
      <c r="I588" s="81"/>
      <c r="J588" s="133"/>
      <c r="K588" s="81"/>
      <c r="L588" s="81"/>
      <c r="M588" s="81"/>
      <c r="N588" s="81"/>
      <c r="O588" s="75">
        <v>405398</v>
      </c>
      <c r="P588" s="47">
        <v>1.15</v>
      </c>
      <c r="Q588" s="47"/>
    </row>
    <row r="589" customHeight="1" spans="1:17">
      <c r="A589" s="67">
        <v>18425</v>
      </c>
      <c r="B589" s="68" t="s">
        <v>160</v>
      </c>
      <c r="C589" s="70" t="s">
        <v>81</v>
      </c>
      <c r="D589" s="68">
        <v>1</v>
      </c>
      <c r="E589" s="70" t="s">
        <v>39</v>
      </c>
      <c r="F589" s="71">
        <v>4</v>
      </c>
      <c r="G589" s="71">
        <f t="shared" si="59"/>
        <v>4</v>
      </c>
      <c r="H589" s="81"/>
      <c r="I589" s="81"/>
      <c r="J589" s="133"/>
      <c r="K589" s="81"/>
      <c r="L589" s="81"/>
      <c r="M589" s="81"/>
      <c r="N589" s="81"/>
      <c r="O589" s="75">
        <v>405398</v>
      </c>
      <c r="P589" s="47">
        <v>0.58</v>
      </c>
      <c r="Q589" s="47"/>
    </row>
    <row r="590" customHeight="1" spans="1:17">
      <c r="A590" s="67">
        <v>18683</v>
      </c>
      <c r="B590" s="68" t="s">
        <v>161</v>
      </c>
      <c r="C590" s="70" t="s">
        <v>81</v>
      </c>
      <c r="D590" s="68">
        <v>10</v>
      </c>
      <c r="E590" s="70" t="s">
        <v>39</v>
      </c>
      <c r="F590" s="71">
        <v>5.24</v>
      </c>
      <c r="G590" s="71">
        <f t="shared" si="59"/>
        <v>52.4</v>
      </c>
      <c r="H590" s="79"/>
      <c r="I590" s="79"/>
      <c r="J590" s="134"/>
      <c r="K590" s="79"/>
      <c r="L590" s="79"/>
      <c r="M590" s="79"/>
      <c r="N590" s="79"/>
      <c r="O590" s="75">
        <v>405398</v>
      </c>
      <c r="P590" s="47">
        <v>9.5</v>
      </c>
      <c r="Q590" s="47"/>
    </row>
    <row r="591" customHeight="1" spans="1:17">
      <c r="A591" s="67">
        <v>18451</v>
      </c>
      <c r="B591" s="68" t="s">
        <v>162</v>
      </c>
      <c r="C591" s="70" t="s">
        <v>81</v>
      </c>
      <c r="D591" s="68">
        <v>11</v>
      </c>
      <c r="E591" s="70" t="s">
        <v>39</v>
      </c>
      <c r="F591" s="71">
        <v>4.08</v>
      </c>
      <c r="G591" s="71">
        <f t="shared" si="59"/>
        <v>44.88</v>
      </c>
      <c r="H591" s="80">
        <v>106</v>
      </c>
      <c r="I591" s="80">
        <v>25</v>
      </c>
      <c r="J591" s="132">
        <v>1</v>
      </c>
      <c r="K591" s="80">
        <v>22.3</v>
      </c>
      <c r="L591" s="80">
        <v>23.3</v>
      </c>
      <c r="M591" s="80">
        <f t="shared" ref="M591:M595" si="60">L591*J591</f>
        <v>23.3</v>
      </c>
      <c r="N591" s="80" t="s">
        <v>129</v>
      </c>
      <c r="O591" s="75">
        <v>405398</v>
      </c>
      <c r="P591" s="47">
        <v>6.336</v>
      </c>
      <c r="Q591" s="47"/>
    </row>
    <row r="592" customHeight="1" spans="1:17">
      <c r="A592" s="67">
        <v>18559</v>
      </c>
      <c r="B592" s="68" t="s">
        <v>130</v>
      </c>
      <c r="C592" s="70" t="s">
        <v>81</v>
      </c>
      <c r="D592" s="68">
        <v>14</v>
      </c>
      <c r="E592" s="70" t="s">
        <v>39</v>
      </c>
      <c r="F592" s="71">
        <v>8.7</v>
      </c>
      <c r="G592" s="71">
        <f t="shared" si="59"/>
        <v>121.8</v>
      </c>
      <c r="H592" s="79"/>
      <c r="I592" s="79"/>
      <c r="J592" s="134"/>
      <c r="K592" s="79"/>
      <c r="L592" s="79"/>
      <c r="M592" s="79"/>
      <c r="N592" s="79"/>
      <c r="O592" s="75">
        <v>405398</v>
      </c>
      <c r="P592" s="47">
        <v>15.96</v>
      </c>
      <c r="Q592" s="47"/>
    </row>
    <row r="593" customHeight="1" spans="1:17">
      <c r="A593" s="67">
        <v>18106</v>
      </c>
      <c r="B593" s="68" t="s">
        <v>128</v>
      </c>
      <c r="C593" s="70" t="s">
        <v>81</v>
      </c>
      <c r="D593" s="68">
        <v>18</v>
      </c>
      <c r="E593" s="70" t="s">
        <v>39</v>
      </c>
      <c r="F593" s="71">
        <v>8.41</v>
      </c>
      <c r="G593" s="71">
        <f t="shared" si="59"/>
        <v>151.38</v>
      </c>
      <c r="H593" s="80">
        <v>106</v>
      </c>
      <c r="I593" s="80">
        <v>25</v>
      </c>
      <c r="J593" s="132">
        <v>1</v>
      </c>
      <c r="K593" s="80">
        <v>22.2</v>
      </c>
      <c r="L593" s="80">
        <v>23.2</v>
      </c>
      <c r="M593" s="80">
        <f t="shared" si="60"/>
        <v>23.2</v>
      </c>
      <c r="N593" s="80" t="s">
        <v>129</v>
      </c>
      <c r="O593" s="75">
        <v>405398</v>
      </c>
      <c r="P593" s="47">
        <v>17.3664</v>
      </c>
      <c r="Q593" s="47"/>
    </row>
    <row r="594" customHeight="1" spans="1:17">
      <c r="A594" s="67">
        <v>18452</v>
      </c>
      <c r="B594" s="68" t="s">
        <v>163</v>
      </c>
      <c r="C594" s="70" t="s">
        <v>81</v>
      </c>
      <c r="D594" s="68">
        <v>7</v>
      </c>
      <c r="E594" s="70" t="s">
        <v>39</v>
      </c>
      <c r="F594" s="71">
        <v>3.89</v>
      </c>
      <c r="G594" s="71">
        <f t="shared" si="59"/>
        <v>27.23</v>
      </c>
      <c r="H594" s="79"/>
      <c r="I594" s="79"/>
      <c r="J594" s="134"/>
      <c r="K594" s="79"/>
      <c r="L594" s="79"/>
      <c r="M594" s="79"/>
      <c r="N594" s="79"/>
      <c r="O594" s="75">
        <v>405398</v>
      </c>
      <c r="P594" s="47">
        <v>4.83</v>
      </c>
      <c r="Q594" s="47"/>
    </row>
    <row r="595" customHeight="1" spans="1:17">
      <c r="A595" s="67">
        <v>18294</v>
      </c>
      <c r="B595" s="68" t="s">
        <v>164</v>
      </c>
      <c r="C595" s="70" t="s">
        <v>81</v>
      </c>
      <c r="D595" s="68">
        <v>18</v>
      </c>
      <c r="E595" s="70" t="s">
        <v>39</v>
      </c>
      <c r="F595" s="71">
        <v>3.78</v>
      </c>
      <c r="G595" s="71">
        <f t="shared" si="59"/>
        <v>68.04</v>
      </c>
      <c r="H595" s="80">
        <v>106</v>
      </c>
      <c r="I595" s="80">
        <v>25</v>
      </c>
      <c r="J595" s="132">
        <v>1</v>
      </c>
      <c r="K595" s="80">
        <v>14.7</v>
      </c>
      <c r="L595" s="80">
        <v>15.7</v>
      </c>
      <c r="M595" s="80">
        <f t="shared" si="60"/>
        <v>15.7</v>
      </c>
      <c r="N595" s="80" t="s">
        <v>129</v>
      </c>
      <c r="O595" s="75">
        <v>405398</v>
      </c>
      <c r="P595" s="47">
        <v>10.44</v>
      </c>
      <c r="Q595" s="47"/>
    </row>
    <row r="596" customHeight="1" spans="1:17">
      <c r="A596" s="67">
        <v>18417</v>
      </c>
      <c r="B596" s="68" t="s">
        <v>165</v>
      </c>
      <c r="C596" s="70" t="s">
        <v>81</v>
      </c>
      <c r="D596" s="68">
        <v>7</v>
      </c>
      <c r="E596" s="70" t="s">
        <v>39</v>
      </c>
      <c r="F596" s="71">
        <v>3.89</v>
      </c>
      <c r="G596" s="71">
        <f t="shared" si="59"/>
        <v>27.23</v>
      </c>
      <c r="H596" s="79"/>
      <c r="I596" s="79"/>
      <c r="J596" s="134"/>
      <c r="K596" s="79"/>
      <c r="L596" s="79"/>
      <c r="M596" s="79"/>
      <c r="N596" s="79"/>
      <c r="O596" s="75">
        <v>405398</v>
      </c>
      <c r="P596" s="47">
        <v>4.3064</v>
      </c>
      <c r="Q596" s="47"/>
    </row>
    <row r="597" customHeight="1" spans="1:17">
      <c r="A597" s="67">
        <v>18700</v>
      </c>
      <c r="B597" s="68" t="s">
        <v>145</v>
      </c>
      <c r="C597" s="69" t="s">
        <v>81</v>
      </c>
      <c r="D597" s="68">
        <v>1</v>
      </c>
      <c r="E597" s="69" t="s">
        <v>39</v>
      </c>
      <c r="F597" s="76">
        <v>11.88</v>
      </c>
      <c r="G597" s="88">
        <f t="shared" si="59"/>
        <v>11.88</v>
      </c>
      <c r="H597" s="68">
        <v>106</v>
      </c>
      <c r="I597" s="81">
        <v>24</v>
      </c>
      <c r="J597" s="133">
        <v>1</v>
      </c>
      <c r="K597" s="81">
        <v>15</v>
      </c>
      <c r="L597" s="81">
        <v>16</v>
      </c>
      <c r="M597" s="81">
        <f>L597*J597</f>
        <v>16</v>
      </c>
      <c r="N597" s="81" t="s">
        <v>129</v>
      </c>
      <c r="O597" s="23">
        <v>420867</v>
      </c>
      <c r="P597" s="47">
        <v>0.58</v>
      </c>
      <c r="Q597" s="47"/>
    </row>
    <row r="598" customHeight="1" spans="1:17">
      <c r="A598" s="67">
        <v>18417</v>
      </c>
      <c r="B598" s="68" t="s">
        <v>165</v>
      </c>
      <c r="C598" s="69" t="s">
        <v>81</v>
      </c>
      <c r="D598" s="68">
        <v>6</v>
      </c>
      <c r="E598" s="69" t="s">
        <v>39</v>
      </c>
      <c r="F598" s="76">
        <v>3.89</v>
      </c>
      <c r="G598" s="88">
        <f t="shared" si="59"/>
        <v>23.34</v>
      </c>
      <c r="H598" s="68"/>
      <c r="I598" s="81"/>
      <c r="J598" s="133"/>
      <c r="K598" s="81"/>
      <c r="L598" s="81"/>
      <c r="M598" s="81"/>
      <c r="N598" s="81"/>
      <c r="O598" s="23">
        <v>420867</v>
      </c>
      <c r="P598" s="47">
        <v>3.69</v>
      </c>
      <c r="Q598" s="47"/>
    </row>
    <row r="599" customHeight="1" spans="1:17">
      <c r="A599" s="67">
        <v>19564</v>
      </c>
      <c r="B599" s="68" t="s">
        <v>142</v>
      </c>
      <c r="C599" s="69" t="s">
        <v>81</v>
      </c>
      <c r="D599" s="68">
        <v>8</v>
      </c>
      <c r="E599" s="69" t="s">
        <v>39</v>
      </c>
      <c r="F599" s="76">
        <v>4</v>
      </c>
      <c r="G599" s="88">
        <f t="shared" si="59"/>
        <v>32</v>
      </c>
      <c r="H599" s="68"/>
      <c r="I599" s="81"/>
      <c r="J599" s="133"/>
      <c r="K599" s="81"/>
      <c r="L599" s="81"/>
      <c r="M599" s="81"/>
      <c r="N599" s="81"/>
      <c r="O599" s="23">
        <v>420867</v>
      </c>
      <c r="P599" s="47">
        <v>4.61</v>
      </c>
      <c r="Q599" s="47"/>
    </row>
    <row r="600" customHeight="1" spans="1:17">
      <c r="A600" s="67">
        <v>18783</v>
      </c>
      <c r="B600" s="68" t="s">
        <v>137</v>
      </c>
      <c r="C600" s="69" t="s">
        <v>81</v>
      </c>
      <c r="D600" s="68">
        <v>9</v>
      </c>
      <c r="E600" s="69" t="s">
        <v>39</v>
      </c>
      <c r="F600" s="76">
        <v>3.47</v>
      </c>
      <c r="G600" s="88">
        <f t="shared" si="59"/>
        <v>31.23</v>
      </c>
      <c r="H600" s="68"/>
      <c r="I600" s="81"/>
      <c r="J600" s="133"/>
      <c r="K600" s="81"/>
      <c r="L600" s="81"/>
      <c r="M600" s="81"/>
      <c r="N600" s="81"/>
      <c r="O600" s="23">
        <v>420867</v>
      </c>
      <c r="P600" s="47">
        <v>5.09</v>
      </c>
      <c r="Q600" s="47"/>
    </row>
    <row r="601" customHeight="1" spans="1:17">
      <c r="A601" s="67">
        <v>18648</v>
      </c>
      <c r="B601" s="68" t="s">
        <v>135</v>
      </c>
      <c r="C601" s="70" t="s">
        <v>81</v>
      </c>
      <c r="D601" s="68">
        <v>1</v>
      </c>
      <c r="E601" s="70" t="s">
        <v>39</v>
      </c>
      <c r="F601" s="71">
        <v>8.55</v>
      </c>
      <c r="G601" s="71">
        <f t="shared" si="59"/>
        <v>8.55</v>
      </c>
      <c r="H601" s="68"/>
      <c r="I601" s="79"/>
      <c r="J601" s="134"/>
      <c r="K601" s="79"/>
      <c r="L601" s="79"/>
      <c r="M601" s="79"/>
      <c r="N601" s="79"/>
      <c r="O601" s="75">
        <v>405398</v>
      </c>
      <c r="P601" s="47">
        <v>1.0448</v>
      </c>
      <c r="Q601" s="47"/>
    </row>
    <row r="602" customHeight="1" spans="1:17">
      <c r="A602" s="104">
        <v>18052</v>
      </c>
      <c r="B602" s="68" t="s">
        <v>166</v>
      </c>
      <c r="C602" s="70" t="s">
        <v>81</v>
      </c>
      <c r="D602" s="68">
        <v>1</v>
      </c>
      <c r="E602" s="69" t="s">
        <v>39</v>
      </c>
      <c r="F602" s="105">
        <v>3.39</v>
      </c>
      <c r="G602" s="77">
        <f t="shared" si="59"/>
        <v>3.39</v>
      </c>
      <c r="H602" s="68">
        <v>105</v>
      </c>
      <c r="I602" s="68">
        <v>23</v>
      </c>
      <c r="J602" s="131">
        <v>1</v>
      </c>
      <c r="K602" s="68">
        <v>11.4</v>
      </c>
      <c r="L602" s="68">
        <v>12.4</v>
      </c>
      <c r="M602" s="68">
        <f>L602*J602</f>
        <v>12.4</v>
      </c>
      <c r="N602" s="68" t="s">
        <v>129</v>
      </c>
      <c r="O602" s="75">
        <v>405398</v>
      </c>
      <c r="P602" s="47">
        <v>0.6492</v>
      </c>
      <c r="Q602" s="47"/>
    </row>
    <row r="603" customHeight="1" spans="1:17">
      <c r="A603" s="104">
        <v>19510</v>
      </c>
      <c r="B603" s="68" t="s">
        <v>167</v>
      </c>
      <c r="C603" s="70" t="s">
        <v>81</v>
      </c>
      <c r="D603" s="68">
        <v>14</v>
      </c>
      <c r="E603" s="69" t="s">
        <v>39</v>
      </c>
      <c r="F603" s="105">
        <v>3.3</v>
      </c>
      <c r="G603" s="77">
        <f t="shared" si="59"/>
        <v>46.2</v>
      </c>
      <c r="H603" s="68">
        <v>106</v>
      </c>
      <c r="I603" s="68"/>
      <c r="J603" s="131"/>
      <c r="K603" s="68"/>
      <c r="L603" s="68"/>
      <c r="M603" s="68"/>
      <c r="N603" s="68"/>
      <c r="O603" s="75">
        <v>405398</v>
      </c>
      <c r="P603" s="47">
        <v>4.8328</v>
      </c>
      <c r="Q603" s="47"/>
    </row>
    <row r="604" customHeight="1" spans="1:17">
      <c r="A604" s="104">
        <v>18957</v>
      </c>
      <c r="B604" s="68" t="s">
        <v>168</v>
      </c>
      <c r="C604" s="70" t="s">
        <v>81</v>
      </c>
      <c r="D604" s="68">
        <v>8</v>
      </c>
      <c r="E604" s="69" t="s">
        <v>39</v>
      </c>
      <c r="F604" s="105">
        <v>6.31</v>
      </c>
      <c r="G604" s="77">
        <f t="shared" si="59"/>
        <v>50.48</v>
      </c>
      <c r="H604" s="68">
        <v>106</v>
      </c>
      <c r="I604" s="68"/>
      <c r="J604" s="131"/>
      <c r="K604" s="68"/>
      <c r="L604" s="68"/>
      <c r="M604" s="68"/>
      <c r="N604" s="68"/>
      <c r="O604" s="75">
        <v>405398</v>
      </c>
      <c r="P604" s="47">
        <v>5.92</v>
      </c>
      <c r="Q604" s="47"/>
    </row>
    <row r="605" customHeight="1" spans="1:17">
      <c r="A605" s="67">
        <v>18136</v>
      </c>
      <c r="B605" s="68" t="s">
        <v>174</v>
      </c>
      <c r="C605" s="70" t="s">
        <v>81</v>
      </c>
      <c r="D605" s="68">
        <v>25</v>
      </c>
      <c r="E605" s="70" t="s">
        <v>39</v>
      </c>
      <c r="F605" s="71">
        <v>2.15</v>
      </c>
      <c r="G605" s="71">
        <f t="shared" ref="G605:G610" si="61">F605*D605</f>
        <v>53.75</v>
      </c>
      <c r="H605" s="68">
        <v>111</v>
      </c>
      <c r="I605" s="68">
        <v>25</v>
      </c>
      <c r="J605" s="147">
        <f t="shared" ref="J605:J610" si="62">D605/I605</f>
        <v>1</v>
      </c>
      <c r="K605" s="68">
        <v>7.7</v>
      </c>
      <c r="L605" s="68">
        <v>8.7</v>
      </c>
      <c r="M605" s="68">
        <f t="shared" ref="M605:M610" si="63">L605*J605</f>
        <v>8.7</v>
      </c>
      <c r="N605" s="68" t="s">
        <v>78</v>
      </c>
      <c r="O605" s="75">
        <v>405398</v>
      </c>
      <c r="P605" s="47"/>
      <c r="Q605" s="47"/>
    </row>
    <row r="606" customHeight="1" spans="1:17">
      <c r="A606" s="67">
        <v>18208</v>
      </c>
      <c r="B606" s="68" t="s">
        <v>106</v>
      </c>
      <c r="C606" s="69" t="s">
        <v>81</v>
      </c>
      <c r="D606" s="68">
        <v>200</v>
      </c>
      <c r="E606" s="69" t="s">
        <v>39</v>
      </c>
      <c r="F606" s="76">
        <v>2.35</v>
      </c>
      <c r="G606" s="77">
        <f t="shared" si="61"/>
        <v>470</v>
      </c>
      <c r="H606" s="78">
        <v>111</v>
      </c>
      <c r="I606" s="79">
        <v>50</v>
      </c>
      <c r="J606" s="146">
        <f t="shared" si="62"/>
        <v>4</v>
      </c>
      <c r="K606" s="79">
        <v>16.75</v>
      </c>
      <c r="L606" s="79">
        <v>18.55</v>
      </c>
      <c r="M606" s="79">
        <f t="shared" si="63"/>
        <v>74.2</v>
      </c>
      <c r="N606" s="79" t="s">
        <v>175</v>
      </c>
      <c r="O606" s="23">
        <v>420867</v>
      </c>
      <c r="P606" s="47"/>
      <c r="Q606" s="47"/>
    </row>
    <row r="607" customHeight="1" spans="1:17">
      <c r="A607" s="67">
        <v>18208</v>
      </c>
      <c r="B607" s="68" t="s">
        <v>106</v>
      </c>
      <c r="C607" s="70" t="s">
        <v>81</v>
      </c>
      <c r="D607" s="68">
        <v>700</v>
      </c>
      <c r="E607" s="70" t="s">
        <v>39</v>
      </c>
      <c r="F607" s="71">
        <v>2.35</v>
      </c>
      <c r="G607" s="71">
        <f t="shared" si="61"/>
        <v>1645</v>
      </c>
      <c r="H607" s="68">
        <v>111</v>
      </c>
      <c r="I607" s="68">
        <v>50</v>
      </c>
      <c r="J607" s="147">
        <f t="shared" si="62"/>
        <v>14</v>
      </c>
      <c r="K607" s="68">
        <v>16.75</v>
      </c>
      <c r="L607" s="68">
        <v>18.55</v>
      </c>
      <c r="M607" s="68">
        <f t="shared" si="63"/>
        <v>259.7</v>
      </c>
      <c r="N607" s="79" t="s">
        <v>175</v>
      </c>
      <c r="O607" s="75">
        <v>405398</v>
      </c>
      <c r="P607" s="47"/>
      <c r="Q607" s="47"/>
    </row>
    <row r="608" customHeight="1" spans="1:17">
      <c r="A608" s="73">
        <v>18208</v>
      </c>
      <c r="B608" s="68" t="s">
        <v>106</v>
      </c>
      <c r="C608" s="70" t="s">
        <v>81</v>
      </c>
      <c r="D608" s="68">
        <v>46</v>
      </c>
      <c r="E608" s="70" t="s">
        <v>39</v>
      </c>
      <c r="F608" s="74">
        <v>2.35</v>
      </c>
      <c r="G608" s="74">
        <f t="shared" si="61"/>
        <v>108.1</v>
      </c>
      <c r="H608" s="68">
        <v>111</v>
      </c>
      <c r="I608" s="68">
        <v>46</v>
      </c>
      <c r="J608" s="147">
        <f t="shared" si="62"/>
        <v>1</v>
      </c>
      <c r="K608" s="68">
        <v>15.4</v>
      </c>
      <c r="L608" s="68">
        <v>17</v>
      </c>
      <c r="M608" s="68">
        <f t="shared" si="63"/>
        <v>17</v>
      </c>
      <c r="N608" s="68" t="s">
        <v>78</v>
      </c>
      <c r="O608" s="75">
        <v>405398</v>
      </c>
      <c r="P608" s="47"/>
      <c r="Q608" s="47"/>
    </row>
    <row r="609" customHeight="1" spans="1:17">
      <c r="A609" s="73">
        <v>8421</v>
      </c>
      <c r="B609" s="68" t="s">
        <v>76</v>
      </c>
      <c r="C609" s="70" t="s">
        <v>47</v>
      </c>
      <c r="D609" s="68">
        <v>150</v>
      </c>
      <c r="E609" s="70" t="s">
        <v>39</v>
      </c>
      <c r="F609" s="74">
        <v>0.9</v>
      </c>
      <c r="G609" s="74">
        <f t="shared" si="61"/>
        <v>135</v>
      </c>
      <c r="H609" s="68" t="s">
        <v>77</v>
      </c>
      <c r="I609" s="68">
        <v>50</v>
      </c>
      <c r="J609" s="147">
        <f t="shared" si="62"/>
        <v>3</v>
      </c>
      <c r="K609" s="68">
        <v>3.75</v>
      </c>
      <c r="L609" s="68">
        <v>4.75</v>
      </c>
      <c r="M609" s="68">
        <f t="shared" si="63"/>
        <v>14.25</v>
      </c>
      <c r="N609" s="68" t="s">
        <v>78</v>
      </c>
      <c r="O609" s="75">
        <v>405398</v>
      </c>
      <c r="P609" s="72"/>
      <c r="Q609" s="72"/>
    </row>
    <row r="610" customHeight="1" spans="1:17">
      <c r="A610" s="73">
        <v>18061</v>
      </c>
      <c r="B610" s="68" t="s">
        <v>107</v>
      </c>
      <c r="C610" s="70" t="s">
        <v>81</v>
      </c>
      <c r="D610" s="68">
        <v>15</v>
      </c>
      <c r="E610" s="70" t="s">
        <v>39</v>
      </c>
      <c r="F610" s="74">
        <v>3.22</v>
      </c>
      <c r="G610" s="74">
        <f t="shared" si="61"/>
        <v>48.3</v>
      </c>
      <c r="H610" s="68">
        <v>104</v>
      </c>
      <c r="I610" s="68">
        <v>15</v>
      </c>
      <c r="J610" s="147">
        <f t="shared" si="62"/>
        <v>1</v>
      </c>
      <c r="K610" s="68">
        <v>7.8</v>
      </c>
      <c r="L610" s="68">
        <v>8.8</v>
      </c>
      <c r="M610" s="68">
        <f t="shared" si="63"/>
        <v>8.8</v>
      </c>
      <c r="N610" s="68" t="s">
        <v>108</v>
      </c>
      <c r="O610" s="75">
        <v>405398</v>
      </c>
      <c r="P610" s="47"/>
      <c r="Q610" s="47"/>
    </row>
    <row r="611" customHeight="1" spans="1:17">
      <c r="A611" s="68"/>
      <c r="B611" s="73"/>
      <c r="C611" s="68"/>
      <c r="D611" s="68"/>
      <c r="E611" s="135" t="s">
        <v>246</v>
      </c>
      <c r="F611" s="136"/>
      <c r="G611" s="136"/>
      <c r="H611" s="136"/>
      <c r="I611" s="136"/>
      <c r="J611" s="136"/>
      <c r="K611" s="136"/>
      <c r="L611" s="136"/>
      <c r="M611" s="137"/>
      <c r="N611" s="125"/>
    </row>
    <row r="612" customHeight="1" spans="1:17">
      <c r="A612" s="68"/>
      <c r="B612" s="73"/>
      <c r="C612" s="68"/>
      <c r="D612" s="68"/>
      <c r="E612" s="138"/>
      <c r="F612" s="139"/>
      <c r="G612" s="139"/>
      <c r="H612" s="139"/>
      <c r="I612" s="139"/>
      <c r="J612" s="139"/>
      <c r="K612" s="139"/>
      <c r="L612" s="139"/>
      <c r="M612" s="140"/>
      <c r="N612" s="125"/>
    </row>
    <row r="613" customHeight="1" spans="1:17">
      <c r="A613" s="68"/>
      <c r="B613" s="73"/>
      <c r="C613" s="68"/>
      <c r="D613" s="68">
        <f>SUM(D531:D612)</f>
        <v>2157</v>
      </c>
      <c r="E613" s="68"/>
      <c r="F613" s="74"/>
      <c r="G613" s="74">
        <f>SUM(G531:G612)</f>
        <v>6969.02</v>
      </c>
      <c r="H613" s="141"/>
      <c r="I613" s="125"/>
      <c r="J613" s="126">
        <f>SUM(J531:J612)</f>
        <v>66</v>
      </c>
      <c r="K613" s="128"/>
      <c r="L613" s="128"/>
      <c r="M613" s="128">
        <f>SUM(M531:M612)</f>
        <v>968.07</v>
      </c>
      <c r="N613" s="125"/>
    </row>
    <row r="617" customHeight="1" spans="1:17">
      <c r="A617" s="67">
        <v>18620</v>
      </c>
      <c r="B617" s="68" t="s">
        <v>123</v>
      </c>
      <c r="C617" s="70" t="s">
        <v>81</v>
      </c>
      <c r="D617" s="68">
        <v>1</v>
      </c>
      <c r="E617" s="70" t="s">
        <v>39</v>
      </c>
      <c r="F617" s="71">
        <v>3.89</v>
      </c>
      <c r="G617" s="71">
        <f>F617*D617</f>
        <v>3.89</v>
      </c>
      <c r="H617" s="80">
        <v>105</v>
      </c>
      <c r="I617" s="80">
        <v>10</v>
      </c>
      <c r="J617" s="80">
        <v>1</v>
      </c>
      <c r="K617" s="80">
        <v>6.6</v>
      </c>
      <c r="L617" s="80">
        <v>7.6</v>
      </c>
      <c r="M617" s="80">
        <f>L617*J617</f>
        <v>7.6</v>
      </c>
      <c r="N617" s="80" t="s">
        <v>124</v>
      </c>
      <c r="O617" s="75">
        <v>405398</v>
      </c>
      <c r="P617" s="47">
        <v>0.66</v>
      </c>
      <c r="Q617" s="47"/>
    </row>
    <row r="618" customHeight="1" spans="1:17">
      <c r="A618" s="67">
        <v>18675</v>
      </c>
      <c r="B618" s="68" t="s">
        <v>125</v>
      </c>
      <c r="C618" s="70" t="s">
        <v>81</v>
      </c>
      <c r="D618" s="68">
        <v>1</v>
      </c>
      <c r="E618" s="70" t="s">
        <v>39</v>
      </c>
      <c r="F618" s="71">
        <v>3.83</v>
      </c>
      <c r="G618" s="71">
        <f>F618*D618</f>
        <v>3.83</v>
      </c>
      <c r="H618" s="81"/>
      <c r="I618" s="81"/>
      <c r="J618" s="81"/>
      <c r="K618" s="81"/>
      <c r="L618" s="81"/>
      <c r="M618" s="81"/>
      <c r="N618" s="81"/>
      <c r="O618" s="75">
        <v>405398</v>
      </c>
      <c r="P618" s="47">
        <v>0.728</v>
      </c>
      <c r="Q618" s="47"/>
    </row>
    <row r="619" customHeight="1" spans="1:17">
      <c r="A619" s="67">
        <v>18936</v>
      </c>
      <c r="B619" s="68" t="s">
        <v>126</v>
      </c>
      <c r="C619" s="70" t="s">
        <v>81</v>
      </c>
      <c r="D619" s="68">
        <v>1</v>
      </c>
      <c r="E619" s="70" t="s">
        <v>39</v>
      </c>
      <c r="F619" s="71">
        <v>3.81</v>
      </c>
      <c r="G619" s="71">
        <f>F619*D619</f>
        <v>3.81</v>
      </c>
      <c r="H619" s="81"/>
      <c r="I619" s="81"/>
      <c r="J619" s="81"/>
      <c r="K619" s="81"/>
      <c r="L619" s="81"/>
      <c r="M619" s="81"/>
      <c r="N619" s="81"/>
      <c r="O619" s="75">
        <v>405398</v>
      </c>
      <c r="P619" s="47">
        <v>0.9</v>
      </c>
      <c r="Q619" s="47"/>
    </row>
    <row r="620" customHeight="1" spans="1:17">
      <c r="A620" s="67">
        <v>18054</v>
      </c>
      <c r="B620" s="68" t="s">
        <v>127</v>
      </c>
      <c r="C620" s="70" t="s">
        <v>81</v>
      </c>
      <c r="D620" s="68">
        <v>2</v>
      </c>
      <c r="E620" s="70" t="s">
        <v>39</v>
      </c>
      <c r="F620" s="71">
        <v>3.65</v>
      </c>
      <c r="G620" s="71">
        <f>F620*D620</f>
        <v>7.3</v>
      </c>
      <c r="H620" s="81"/>
      <c r="I620" s="81"/>
      <c r="J620" s="81"/>
      <c r="K620" s="81"/>
      <c r="L620" s="81"/>
      <c r="M620" s="81"/>
      <c r="N620" s="81"/>
      <c r="O620" s="75">
        <v>405398</v>
      </c>
      <c r="P620" s="47">
        <v>1.2504</v>
      </c>
      <c r="Q620" s="47"/>
    </row>
    <row r="621" customHeight="1" spans="1:17">
      <c r="A621" s="67">
        <v>18408</v>
      </c>
      <c r="B621" s="68" t="s">
        <v>114</v>
      </c>
      <c r="C621" s="70" t="s">
        <v>81</v>
      </c>
      <c r="D621" s="68">
        <v>5</v>
      </c>
      <c r="E621" s="70" t="s">
        <v>39</v>
      </c>
      <c r="F621" s="71">
        <v>3.43</v>
      </c>
      <c r="G621" s="71">
        <f>F621*D621</f>
        <v>17.15</v>
      </c>
      <c r="H621" s="79"/>
      <c r="I621" s="79"/>
      <c r="J621" s="79"/>
      <c r="K621" s="79"/>
      <c r="L621" s="79"/>
      <c r="M621" s="79"/>
      <c r="N621" s="79"/>
      <c r="O621" s="75">
        <v>405398</v>
      </c>
      <c r="P621" s="47">
        <v>3.05</v>
      </c>
      <c r="Q621" s="47"/>
    </row>
    <row r="622" customHeight="1" spans="1:17">
      <c r="A622" s="67"/>
      <c r="B622" s="68"/>
      <c r="C622" s="70">
        <v>286</v>
      </c>
      <c r="D622" s="68"/>
      <c r="E622" s="70"/>
      <c r="F622" s="71"/>
      <c r="G622" s="71"/>
      <c r="H622" s="68"/>
      <c r="I622" s="68"/>
      <c r="J622" s="68"/>
      <c r="K622" s="68"/>
      <c r="L622" s="68"/>
      <c r="M622" s="68"/>
      <c r="N622" s="68"/>
      <c r="O622" s="75"/>
      <c r="P622" s="47"/>
      <c r="Q622" s="47"/>
    </row>
    <row r="623" customHeight="1" spans="1:17">
      <c r="A623" s="67">
        <v>18589</v>
      </c>
      <c r="B623" s="68" t="s">
        <v>134</v>
      </c>
      <c r="C623" s="70" t="s">
        <v>81</v>
      </c>
      <c r="D623" s="68">
        <v>20</v>
      </c>
      <c r="E623" s="70" t="s">
        <v>39</v>
      </c>
      <c r="F623" s="71">
        <v>4.73</v>
      </c>
      <c r="G623" s="71">
        <f t="shared" ref="G623:G630" si="64">F623*D623</f>
        <v>94.6</v>
      </c>
      <c r="H623" s="68">
        <v>106</v>
      </c>
      <c r="I623" s="68">
        <v>20</v>
      </c>
      <c r="J623" s="68">
        <f>D623/I623</f>
        <v>1</v>
      </c>
      <c r="K623" s="68">
        <v>21.6</v>
      </c>
      <c r="L623" s="68">
        <v>23.1</v>
      </c>
      <c r="M623" s="68">
        <f>L623*J623</f>
        <v>23.1</v>
      </c>
      <c r="N623" s="68" t="s">
        <v>131</v>
      </c>
      <c r="O623" s="75">
        <v>405398</v>
      </c>
      <c r="P623" s="47"/>
      <c r="Q623" s="47"/>
    </row>
    <row r="624" customHeight="1" spans="1:17">
      <c r="A624" s="67">
        <v>18829</v>
      </c>
      <c r="B624" s="68" t="s">
        <v>138</v>
      </c>
      <c r="C624" s="70" t="s">
        <v>81</v>
      </c>
      <c r="D624" s="68">
        <v>60</v>
      </c>
      <c r="E624" s="70" t="s">
        <v>39</v>
      </c>
      <c r="F624" s="71">
        <v>5.27</v>
      </c>
      <c r="G624" s="71">
        <f t="shared" si="64"/>
        <v>316.2</v>
      </c>
      <c r="H624" s="68">
        <v>106</v>
      </c>
      <c r="I624" s="68">
        <v>20</v>
      </c>
      <c r="J624" s="68">
        <f>D624/I624</f>
        <v>3</v>
      </c>
      <c r="K624" s="68">
        <v>14.8</v>
      </c>
      <c r="L624" s="68">
        <v>16.1</v>
      </c>
      <c r="M624" s="68">
        <f>L624*J624</f>
        <v>48.3</v>
      </c>
      <c r="N624" s="68" t="s">
        <v>131</v>
      </c>
      <c r="O624" s="75">
        <v>405398</v>
      </c>
      <c r="P624" s="47"/>
      <c r="Q624" s="47"/>
    </row>
    <row r="625" customHeight="1" spans="1:17">
      <c r="A625" s="73">
        <v>28588</v>
      </c>
      <c r="B625" s="68" t="s">
        <v>182</v>
      </c>
      <c r="C625" s="70" t="s">
        <v>179</v>
      </c>
      <c r="D625" s="68">
        <v>1</v>
      </c>
      <c r="E625" s="70" t="s">
        <v>39</v>
      </c>
      <c r="F625" s="105">
        <v>5.45</v>
      </c>
      <c r="G625" s="77">
        <f t="shared" si="64"/>
        <v>5.45</v>
      </c>
      <c r="H625" s="68">
        <v>115</v>
      </c>
      <c r="I625" s="68">
        <v>11</v>
      </c>
      <c r="J625" s="68">
        <v>1</v>
      </c>
      <c r="K625" s="68">
        <v>5.77</v>
      </c>
      <c r="L625" s="68">
        <v>6.77</v>
      </c>
      <c r="M625" s="68">
        <f>L625*J625</f>
        <v>6.77</v>
      </c>
      <c r="N625" s="68" t="s">
        <v>225</v>
      </c>
      <c r="O625" s="23">
        <v>420867</v>
      </c>
      <c r="P625" s="47">
        <v>0.54</v>
      </c>
      <c r="Q625" s="47"/>
    </row>
    <row r="626" customHeight="1" spans="1:17">
      <c r="A626" s="73">
        <v>28806</v>
      </c>
      <c r="B626" s="68" t="s">
        <v>200</v>
      </c>
      <c r="C626" s="70" t="s">
        <v>179</v>
      </c>
      <c r="D626" s="68">
        <v>1</v>
      </c>
      <c r="E626" s="70" t="s">
        <v>39</v>
      </c>
      <c r="F626" s="105">
        <v>5.5</v>
      </c>
      <c r="G626" s="77">
        <f t="shared" si="64"/>
        <v>5.5</v>
      </c>
      <c r="H626" s="68">
        <v>115</v>
      </c>
      <c r="I626" s="68"/>
      <c r="J626" s="68"/>
      <c r="K626" s="68"/>
      <c r="L626" s="68"/>
      <c r="M626" s="68"/>
      <c r="N626" s="68"/>
      <c r="O626" s="23">
        <v>420867</v>
      </c>
      <c r="P626" s="47">
        <v>0.39</v>
      </c>
      <c r="Q626" s="47"/>
    </row>
    <row r="627" customHeight="1" spans="1:17">
      <c r="A627" s="73">
        <v>28685</v>
      </c>
      <c r="B627" s="68" t="s">
        <v>202</v>
      </c>
      <c r="C627" s="70" t="s">
        <v>179</v>
      </c>
      <c r="D627" s="68">
        <v>2</v>
      </c>
      <c r="E627" s="70" t="s">
        <v>39</v>
      </c>
      <c r="F627" s="105">
        <v>5.5</v>
      </c>
      <c r="G627" s="77">
        <f t="shared" si="64"/>
        <v>11</v>
      </c>
      <c r="H627" s="68">
        <v>115</v>
      </c>
      <c r="I627" s="68"/>
      <c r="J627" s="68"/>
      <c r="K627" s="68"/>
      <c r="L627" s="68"/>
      <c r="M627" s="68"/>
      <c r="N627" s="68"/>
      <c r="O627" s="23">
        <v>420867</v>
      </c>
      <c r="P627" s="47">
        <v>0.76</v>
      </c>
      <c r="Q627" s="47"/>
    </row>
    <row r="628" customHeight="1" spans="1:17">
      <c r="A628" s="73">
        <v>28783</v>
      </c>
      <c r="B628" s="68" t="s">
        <v>190</v>
      </c>
      <c r="C628" s="70" t="s">
        <v>179</v>
      </c>
      <c r="D628" s="68">
        <v>3</v>
      </c>
      <c r="E628" s="70" t="s">
        <v>39</v>
      </c>
      <c r="F628" s="105">
        <v>5.5</v>
      </c>
      <c r="G628" s="77">
        <f t="shared" si="64"/>
        <v>16.5</v>
      </c>
      <c r="H628" s="68">
        <v>115</v>
      </c>
      <c r="I628" s="68"/>
      <c r="J628" s="68"/>
      <c r="K628" s="68"/>
      <c r="L628" s="68"/>
      <c r="M628" s="68"/>
      <c r="N628" s="68"/>
      <c r="O628" s="23">
        <v>420867</v>
      </c>
      <c r="P628" s="47">
        <v>1.71</v>
      </c>
      <c r="Q628" s="47"/>
    </row>
    <row r="629" customHeight="1" spans="1:17">
      <c r="A629" s="73">
        <v>28796</v>
      </c>
      <c r="B629" s="68" t="s">
        <v>192</v>
      </c>
      <c r="C629" s="70" t="s">
        <v>179</v>
      </c>
      <c r="D629" s="68">
        <v>3</v>
      </c>
      <c r="E629" s="70" t="s">
        <v>39</v>
      </c>
      <c r="F629" s="105">
        <v>5.4</v>
      </c>
      <c r="G629" s="77">
        <f t="shared" si="64"/>
        <v>16.2</v>
      </c>
      <c r="H629" s="68">
        <v>115</v>
      </c>
      <c r="I629" s="68"/>
      <c r="J629" s="68"/>
      <c r="K629" s="68"/>
      <c r="L629" s="68"/>
      <c r="M629" s="68"/>
      <c r="N629" s="68"/>
      <c r="O629" s="23">
        <v>420867</v>
      </c>
      <c r="P629" s="47">
        <v>1.65</v>
      </c>
      <c r="Q629" s="47"/>
    </row>
    <row r="630" customHeight="1" spans="1:17">
      <c r="A630" s="73">
        <v>28855</v>
      </c>
      <c r="B630" s="68" t="s">
        <v>226</v>
      </c>
      <c r="C630" s="70" t="s">
        <v>179</v>
      </c>
      <c r="D630" s="68">
        <v>1</v>
      </c>
      <c r="E630" s="70" t="s">
        <v>39</v>
      </c>
      <c r="F630" s="105">
        <v>5.7</v>
      </c>
      <c r="G630" s="77">
        <f t="shared" si="64"/>
        <v>5.7</v>
      </c>
      <c r="H630" s="68">
        <v>117</v>
      </c>
      <c r="I630" s="68"/>
      <c r="J630" s="68"/>
      <c r="K630" s="68"/>
      <c r="L630" s="68"/>
      <c r="M630" s="68"/>
      <c r="N630" s="68"/>
      <c r="O630" s="23">
        <v>420867</v>
      </c>
      <c r="P630" s="47">
        <v>0.72</v>
      </c>
      <c r="Q630" s="47"/>
    </row>
    <row r="631" customHeight="1" spans="1:17">
      <c r="A631" s="67"/>
      <c r="B631" s="68"/>
      <c r="C631" s="70">
        <v>2265</v>
      </c>
      <c r="D631" s="68"/>
      <c r="E631" s="70"/>
      <c r="F631" s="71"/>
      <c r="G631" s="71"/>
      <c r="H631" s="68"/>
      <c r="I631" s="68"/>
      <c r="J631" s="68"/>
      <c r="K631" s="68"/>
      <c r="L631" s="68"/>
      <c r="M631" s="68"/>
      <c r="N631" s="68"/>
      <c r="O631" s="75"/>
      <c r="P631" s="47"/>
      <c r="Q631" s="47"/>
    </row>
    <row r="632" customHeight="1" spans="1:17">
      <c r="A632" s="67">
        <v>18187</v>
      </c>
      <c r="B632" s="68" t="s">
        <v>169</v>
      </c>
      <c r="C632" s="70" t="s">
        <v>81</v>
      </c>
      <c r="D632" s="68">
        <v>60</v>
      </c>
      <c r="E632" s="70" t="s">
        <v>39</v>
      </c>
      <c r="F632" s="71">
        <v>9.52</v>
      </c>
      <c r="G632" s="71">
        <f t="shared" ref="G632:G643" si="65">F632*D632</f>
        <v>571.2</v>
      </c>
      <c r="H632" s="68">
        <v>107</v>
      </c>
      <c r="I632" s="68">
        <v>15</v>
      </c>
      <c r="J632" s="149">
        <f t="shared" ref="J632:J637" si="66">D632/I632</f>
        <v>4</v>
      </c>
      <c r="K632" s="68">
        <v>21</v>
      </c>
      <c r="L632" s="68">
        <v>22.3</v>
      </c>
      <c r="M632" s="68">
        <f>L632*J632</f>
        <v>89.2</v>
      </c>
      <c r="N632" s="68" t="s">
        <v>170</v>
      </c>
      <c r="O632" s="75">
        <v>405398</v>
      </c>
      <c r="P632" s="47"/>
      <c r="Q632" s="47"/>
    </row>
    <row r="633" customHeight="1" spans="1:17">
      <c r="A633" s="73">
        <v>28712</v>
      </c>
      <c r="B633" s="68" t="s">
        <v>187</v>
      </c>
      <c r="C633" s="70" t="s">
        <v>179</v>
      </c>
      <c r="D633" s="68">
        <v>270</v>
      </c>
      <c r="E633" s="70" t="s">
        <v>39</v>
      </c>
      <c r="F633" s="74">
        <v>5.7</v>
      </c>
      <c r="G633" s="71">
        <f t="shared" si="65"/>
        <v>1539</v>
      </c>
      <c r="H633" s="68">
        <v>115</v>
      </c>
      <c r="I633" s="68">
        <v>30</v>
      </c>
      <c r="J633" s="149">
        <f t="shared" si="66"/>
        <v>9</v>
      </c>
      <c r="K633" s="68">
        <v>15.9</v>
      </c>
      <c r="L633" s="68">
        <v>17.1</v>
      </c>
      <c r="M633" s="68">
        <f>L633*J633</f>
        <v>153.9</v>
      </c>
      <c r="N633" s="68" t="s">
        <v>180</v>
      </c>
      <c r="O633" s="75">
        <v>405398</v>
      </c>
      <c r="P633" s="47"/>
      <c r="Q633" s="47"/>
    </row>
    <row r="634" customHeight="1" spans="1:17">
      <c r="A634" s="73">
        <v>28737</v>
      </c>
      <c r="B634" s="68" t="s">
        <v>188</v>
      </c>
      <c r="C634" s="70" t="s">
        <v>179</v>
      </c>
      <c r="D634" s="68">
        <v>180</v>
      </c>
      <c r="E634" s="70" t="s">
        <v>39</v>
      </c>
      <c r="F634" s="74">
        <v>5.6</v>
      </c>
      <c r="G634" s="71">
        <f t="shared" si="65"/>
        <v>1008</v>
      </c>
      <c r="H634" s="68">
        <v>115</v>
      </c>
      <c r="I634" s="68">
        <v>30</v>
      </c>
      <c r="J634" s="149">
        <f t="shared" si="66"/>
        <v>6</v>
      </c>
      <c r="K634" s="68">
        <v>11.7</v>
      </c>
      <c r="L634" s="68">
        <v>12.9</v>
      </c>
      <c r="M634" s="68">
        <f>L634*J634</f>
        <v>77.4</v>
      </c>
      <c r="N634" s="68" t="s">
        <v>180</v>
      </c>
      <c r="O634" s="75">
        <v>405398</v>
      </c>
      <c r="P634" s="47"/>
      <c r="Q634" s="47"/>
    </row>
    <row r="635" customHeight="1" spans="1:17">
      <c r="A635" s="73">
        <v>28765</v>
      </c>
      <c r="B635" s="68" t="s">
        <v>189</v>
      </c>
      <c r="C635" s="70" t="s">
        <v>179</v>
      </c>
      <c r="D635" s="68">
        <v>90</v>
      </c>
      <c r="E635" s="70" t="s">
        <v>39</v>
      </c>
      <c r="F635" s="74">
        <v>5.7</v>
      </c>
      <c r="G635" s="71">
        <f t="shared" si="65"/>
        <v>513</v>
      </c>
      <c r="H635" s="68">
        <v>115</v>
      </c>
      <c r="I635" s="68">
        <v>30</v>
      </c>
      <c r="J635" s="149">
        <f t="shared" si="66"/>
        <v>3</v>
      </c>
      <c r="K635" s="68">
        <v>11.26</v>
      </c>
      <c r="L635" s="68">
        <v>12.46</v>
      </c>
      <c r="M635" s="68">
        <f t="shared" ref="M633:M642" si="67">L635*J635</f>
        <v>37.38</v>
      </c>
      <c r="N635" s="68" t="s">
        <v>180</v>
      </c>
      <c r="O635" s="75">
        <v>405398</v>
      </c>
      <c r="P635" s="47"/>
      <c r="Q635" s="47"/>
    </row>
    <row r="636" customHeight="1" spans="1:17">
      <c r="A636" s="73">
        <v>28783</v>
      </c>
      <c r="B636" s="68" t="s">
        <v>190</v>
      </c>
      <c r="C636" s="70" t="s">
        <v>179</v>
      </c>
      <c r="D636" s="68">
        <v>30</v>
      </c>
      <c r="E636" s="70" t="s">
        <v>39</v>
      </c>
      <c r="F636" s="105">
        <v>5.5</v>
      </c>
      <c r="G636" s="88">
        <f t="shared" si="65"/>
        <v>165</v>
      </c>
      <c r="H636" s="68">
        <v>115</v>
      </c>
      <c r="I636" s="68">
        <v>30</v>
      </c>
      <c r="J636" s="149">
        <f t="shared" si="66"/>
        <v>1</v>
      </c>
      <c r="K636" s="68">
        <v>17.1</v>
      </c>
      <c r="L636" s="68">
        <v>18.1</v>
      </c>
      <c r="M636" s="68">
        <f t="shared" si="67"/>
        <v>18.1</v>
      </c>
      <c r="N636" s="68" t="s">
        <v>180</v>
      </c>
      <c r="O636" s="23">
        <v>420867</v>
      </c>
      <c r="P636" s="47"/>
      <c r="Q636" s="47"/>
    </row>
    <row r="637" customHeight="1" spans="1:17">
      <c r="A637" s="73">
        <v>28798</v>
      </c>
      <c r="B637" s="68" t="s">
        <v>193</v>
      </c>
      <c r="C637" s="70" t="s">
        <v>179</v>
      </c>
      <c r="D637" s="68">
        <v>90</v>
      </c>
      <c r="E637" s="70" t="s">
        <v>39</v>
      </c>
      <c r="F637" s="74">
        <v>5.75</v>
      </c>
      <c r="G637" s="71">
        <f t="shared" si="65"/>
        <v>517.5</v>
      </c>
      <c r="H637" s="68">
        <v>115</v>
      </c>
      <c r="I637" s="68">
        <v>30</v>
      </c>
      <c r="J637" s="149">
        <f t="shared" si="66"/>
        <v>3</v>
      </c>
      <c r="K637" s="68">
        <v>14.7</v>
      </c>
      <c r="L637" s="68">
        <v>15.9</v>
      </c>
      <c r="M637" s="68">
        <f t="shared" si="67"/>
        <v>47.7</v>
      </c>
      <c r="N637" s="68" t="s">
        <v>180</v>
      </c>
      <c r="O637" s="75">
        <v>405398</v>
      </c>
      <c r="P637" s="47"/>
      <c r="Q637" s="47"/>
    </row>
    <row r="638" customHeight="1" spans="1:17">
      <c r="A638" s="73">
        <v>28853</v>
      </c>
      <c r="B638" s="68" t="s">
        <v>195</v>
      </c>
      <c r="C638" s="70" t="s">
        <v>179</v>
      </c>
      <c r="D638" s="68">
        <v>28</v>
      </c>
      <c r="E638" s="70" t="s">
        <v>39</v>
      </c>
      <c r="F638" s="74">
        <v>5.75</v>
      </c>
      <c r="G638" s="71">
        <f t="shared" si="65"/>
        <v>161</v>
      </c>
      <c r="H638" s="68">
        <v>115</v>
      </c>
      <c r="I638" s="68">
        <v>28</v>
      </c>
      <c r="J638" s="149">
        <v>1</v>
      </c>
      <c r="K638" s="68">
        <v>11.76</v>
      </c>
      <c r="L638" s="68">
        <v>12.76</v>
      </c>
      <c r="M638" s="68">
        <f t="shared" si="67"/>
        <v>12.76</v>
      </c>
      <c r="N638" s="68" t="s">
        <v>180</v>
      </c>
      <c r="O638" s="75">
        <v>405398</v>
      </c>
      <c r="P638" s="47"/>
      <c r="Q638" s="47"/>
    </row>
    <row r="639" customHeight="1" spans="1:17">
      <c r="A639" s="73">
        <v>28853</v>
      </c>
      <c r="B639" s="68" t="s">
        <v>195</v>
      </c>
      <c r="C639" s="70" t="s">
        <v>179</v>
      </c>
      <c r="D639" s="68">
        <v>120</v>
      </c>
      <c r="E639" s="70" t="s">
        <v>39</v>
      </c>
      <c r="F639" s="74">
        <v>5.75</v>
      </c>
      <c r="G639" s="71">
        <f t="shared" si="65"/>
        <v>690</v>
      </c>
      <c r="H639" s="68">
        <v>115</v>
      </c>
      <c r="I639" s="68">
        <v>30</v>
      </c>
      <c r="J639" s="149">
        <f t="shared" ref="J639:J641" si="68">D639/I639</f>
        <v>4</v>
      </c>
      <c r="K639" s="68">
        <v>12.6</v>
      </c>
      <c r="L639" s="68">
        <v>13.8</v>
      </c>
      <c r="M639" s="68">
        <f t="shared" si="67"/>
        <v>55.2</v>
      </c>
      <c r="N639" s="68" t="s">
        <v>180</v>
      </c>
      <c r="O639" s="75">
        <v>405398</v>
      </c>
      <c r="P639" s="47"/>
      <c r="Q639" s="47"/>
    </row>
    <row r="640" customHeight="1" spans="1:17">
      <c r="A640" s="73">
        <v>28857</v>
      </c>
      <c r="B640" s="68" t="s">
        <v>196</v>
      </c>
      <c r="C640" s="70" t="s">
        <v>179</v>
      </c>
      <c r="D640" s="68">
        <v>210</v>
      </c>
      <c r="E640" s="70" t="s">
        <v>39</v>
      </c>
      <c r="F640" s="74">
        <v>5.7</v>
      </c>
      <c r="G640" s="71">
        <f t="shared" si="65"/>
        <v>1197</v>
      </c>
      <c r="H640" s="68">
        <v>115</v>
      </c>
      <c r="I640" s="68">
        <v>30</v>
      </c>
      <c r="J640" s="149">
        <f t="shared" si="68"/>
        <v>7</v>
      </c>
      <c r="K640" s="68">
        <v>11.4</v>
      </c>
      <c r="L640" s="68">
        <v>12.6</v>
      </c>
      <c r="M640" s="68">
        <f t="shared" si="67"/>
        <v>88.2</v>
      </c>
      <c r="N640" s="68" t="s">
        <v>180</v>
      </c>
      <c r="O640" s="75">
        <v>405398</v>
      </c>
      <c r="P640" s="47"/>
      <c r="Q640" s="47"/>
    </row>
    <row r="641" customHeight="1" spans="1:17">
      <c r="A641" s="73">
        <v>28893</v>
      </c>
      <c r="B641" s="68" t="s">
        <v>197</v>
      </c>
      <c r="C641" s="70" t="s">
        <v>179</v>
      </c>
      <c r="D641" s="68">
        <v>180</v>
      </c>
      <c r="E641" s="70" t="s">
        <v>39</v>
      </c>
      <c r="F641" s="74">
        <v>5.6</v>
      </c>
      <c r="G641" s="71">
        <f t="shared" si="65"/>
        <v>1008</v>
      </c>
      <c r="H641" s="68">
        <v>115</v>
      </c>
      <c r="I641" s="68">
        <v>30</v>
      </c>
      <c r="J641" s="149">
        <f t="shared" si="68"/>
        <v>6</v>
      </c>
      <c r="K641" s="68">
        <v>13.2</v>
      </c>
      <c r="L641" s="68">
        <v>14.4</v>
      </c>
      <c r="M641" s="68">
        <f t="shared" si="67"/>
        <v>86.4</v>
      </c>
      <c r="N641" s="68" t="s">
        <v>180</v>
      </c>
      <c r="O641" s="75">
        <v>405398</v>
      </c>
      <c r="P641" s="47"/>
      <c r="Q641" s="47"/>
    </row>
    <row r="642" customHeight="1" spans="1:17">
      <c r="A642" s="73">
        <v>28755</v>
      </c>
      <c r="B642" s="68" t="s">
        <v>216</v>
      </c>
      <c r="C642" s="70" t="s">
        <v>179</v>
      </c>
      <c r="D642" s="68">
        <v>13</v>
      </c>
      <c r="E642" s="70" t="s">
        <v>39</v>
      </c>
      <c r="F642" s="105">
        <v>5.5</v>
      </c>
      <c r="G642" s="77">
        <f t="shared" si="65"/>
        <v>71.5</v>
      </c>
      <c r="H642" s="68">
        <v>115</v>
      </c>
      <c r="I642" s="68">
        <v>30</v>
      </c>
      <c r="J642" s="149">
        <v>1</v>
      </c>
      <c r="K642" s="68">
        <v>11.49</v>
      </c>
      <c r="L642" s="68">
        <v>12.49</v>
      </c>
      <c r="M642" s="68">
        <f t="shared" si="67"/>
        <v>12.49</v>
      </c>
      <c r="N642" s="68" t="s">
        <v>180</v>
      </c>
      <c r="O642" s="23">
        <v>420867</v>
      </c>
      <c r="P642" s="47">
        <v>5.2</v>
      </c>
      <c r="Q642" s="47"/>
    </row>
    <row r="643" customHeight="1" spans="1:17">
      <c r="A643" s="73">
        <v>28612</v>
      </c>
      <c r="B643" s="68">
        <v>39339</v>
      </c>
      <c r="C643" s="70" t="s">
        <v>179</v>
      </c>
      <c r="D643" s="68">
        <v>17</v>
      </c>
      <c r="E643" s="70" t="s">
        <v>39</v>
      </c>
      <c r="F643" s="105">
        <v>5.5</v>
      </c>
      <c r="G643" s="77">
        <f t="shared" si="65"/>
        <v>93.5</v>
      </c>
      <c r="H643" s="68"/>
      <c r="I643" s="68"/>
      <c r="J643" s="149"/>
      <c r="K643" s="68"/>
      <c r="L643" s="68"/>
      <c r="M643" s="68"/>
      <c r="N643" s="68"/>
      <c r="O643" s="23">
        <v>420867</v>
      </c>
      <c r="P643" s="47">
        <v>6.29</v>
      </c>
      <c r="Q643" s="47"/>
    </row>
    <row r="644" customHeight="1" spans="1:17">
      <c r="A644" s="73"/>
      <c r="B644" s="68"/>
      <c r="C644" s="68"/>
      <c r="D644" s="68"/>
      <c r="E644" s="148" t="s">
        <v>247</v>
      </c>
      <c r="F644" s="136"/>
      <c r="G644" s="136"/>
      <c r="H644" s="136"/>
      <c r="I644" s="136"/>
      <c r="J644" s="136"/>
      <c r="K644" s="136"/>
      <c r="L644" s="136"/>
      <c r="M644" s="137"/>
      <c r="N644" s="68"/>
      <c r="O644" s="75"/>
      <c r="P644" s="47"/>
      <c r="Q644" s="47"/>
    </row>
    <row r="645" customHeight="1" spans="1:17">
      <c r="A645" s="68"/>
      <c r="B645" s="73"/>
      <c r="C645" s="68"/>
      <c r="D645" s="68"/>
      <c r="E645" s="138"/>
      <c r="F645" s="139"/>
      <c r="G645" s="139"/>
      <c r="H645" s="139"/>
      <c r="I645" s="139"/>
      <c r="J645" s="139"/>
      <c r="K645" s="139"/>
      <c r="L645" s="139"/>
      <c r="M645" s="140"/>
      <c r="N645" s="125"/>
    </row>
    <row r="646" customHeight="1" spans="1:17">
      <c r="A646" s="68"/>
      <c r="B646" s="73"/>
      <c r="C646" s="68"/>
      <c r="D646" s="68">
        <f>SUM(D617:D645)</f>
        <v>1389</v>
      </c>
      <c r="E646" s="68"/>
      <c r="F646" s="74"/>
      <c r="G646" s="74">
        <f>SUM(G617:G645)</f>
        <v>8041.83</v>
      </c>
      <c r="H646" s="141"/>
      <c r="I646" s="125"/>
      <c r="J646" s="126">
        <f>SUM(J617:J645)</f>
        <v>51</v>
      </c>
      <c r="K646" s="128"/>
      <c r="L646" s="128"/>
      <c r="M646" s="128">
        <f>SUM(M617:M645)</f>
        <v>764.5</v>
      </c>
      <c r="N646" s="125"/>
    </row>
  </sheetData>
  <sortState ref="A209:P235">
    <sortCondition ref="A209"/>
  </sortState>
  <mergeCells count="882">
    <mergeCell ref="B1:M1"/>
    <mergeCell ref="B2:M2"/>
    <mergeCell ref="K4:L4"/>
    <mergeCell ref="C314:D314"/>
    <mergeCell ref="H77:H78"/>
    <mergeCell ref="H79:H80"/>
    <mergeCell ref="H81:H82"/>
    <mergeCell ref="H83:H84"/>
    <mergeCell ref="H85:H88"/>
    <mergeCell ref="H89:H90"/>
    <mergeCell ref="H91:H94"/>
    <mergeCell ref="H95:H97"/>
    <mergeCell ref="H99:H100"/>
    <mergeCell ref="H101:H103"/>
    <mergeCell ref="H109:H112"/>
    <mergeCell ref="H121:H122"/>
    <mergeCell ref="H123:H125"/>
    <mergeCell ref="H126:H129"/>
    <mergeCell ref="H130:H134"/>
    <mergeCell ref="H147:H148"/>
    <mergeCell ref="H149:H150"/>
    <mergeCell ref="H151:H153"/>
    <mergeCell ref="H154:H156"/>
    <mergeCell ref="H157:H158"/>
    <mergeCell ref="H159:H161"/>
    <mergeCell ref="H162:H164"/>
    <mergeCell ref="H165:H166"/>
    <mergeCell ref="H167:H171"/>
    <mergeCell ref="H172:H176"/>
    <mergeCell ref="H177:H178"/>
    <mergeCell ref="H179:H180"/>
    <mergeCell ref="H181:H182"/>
    <mergeCell ref="H183:H187"/>
    <mergeCell ref="H194:H195"/>
    <mergeCell ref="H233:H235"/>
    <mergeCell ref="H236:H237"/>
    <mergeCell ref="H238:H239"/>
    <mergeCell ref="H240:H241"/>
    <mergeCell ref="H242:H243"/>
    <mergeCell ref="H244:H245"/>
    <mergeCell ref="H246:H247"/>
    <mergeCell ref="H248:H249"/>
    <mergeCell ref="H250:H252"/>
    <mergeCell ref="H253:H254"/>
    <mergeCell ref="H255:H259"/>
    <mergeCell ref="H260:H262"/>
    <mergeCell ref="H263:H266"/>
    <mergeCell ref="H267:H269"/>
    <mergeCell ref="H270:H271"/>
    <mergeCell ref="H272:H274"/>
    <mergeCell ref="H275:H278"/>
    <mergeCell ref="H285:H286"/>
    <mergeCell ref="H290:H291"/>
    <mergeCell ref="H292:H293"/>
    <mergeCell ref="H305:H306"/>
    <mergeCell ref="H325:H327"/>
    <mergeCell ref="H328:H329"/>
    <mergeCell ref="H330:H331"/>
    <mergeCell ref="H332:H333"/>
    <mergeCell ref="H334:H335"/>
    <mergeCell ref="H336:H337"/>
    <mergeCell ref="H338:H339"/>
    <mergeCell ref="H340:H342"/>
    <mergeCell ref="H343:H344"/>
    <mergeCell ref="H345:H349"/>
    <mergeCell ref="H350:H352"/>
    <mergeCell ref="H353:H356"/>
    <mergeCell ref="H357:H359"/>
    <mergeCell ref="H360:H361"/>
    <mergeCell ref="H362:H364"/>
    <mergeCell ref="H365:H368"/>
    <mergeCell ref="H379:H380"/>
    <mergeCell ref="H437:H440"/>
    <mergeCell ref="H441:H442"/>
    <mergeCell ref="H443:H446"/>
    <mergeCell ref="H447:H449"/>
    <mergeCell ref="H451:H452"/>
    <mergeCell ref="H453:H455"/>
    <mergeCell ref="H478:H479"/>
    <mergeCell ref="H480:H481"/>
    <mergeCell ref="H482:H483"/>
    <mergeCell ref="H484:H485"/>
    <mergeCell ref="H510:H511"/>
    <mergeCell ref="H512:H513"/>
    <mergeCell ref="H514:H516"/>
    <mergeCell ref="H517:H519"/>
    <mergeCell ref="H520:H521"/>
    <mergeCell ref="H522:H524"/>
    <mergeCell ref="H533:H534"/>
    <mergeCell ref="H535:H536"/>
    <mergeCell ref="H537:H538"/>
    <mergeCell ref="H544:H545"/>
    <mergeCell ref="H556:H559"/>
    <mergeCell ref="H567:H568"/>
    <mergeCell ref="H569:H571"/>
    <mergeCell ref="H572:H575"/>
    <mergeCell ref="H576:H578"/>
    <mergeCell ref="H579:H580"/>
    <mergeCell ref="H581:H585"/>
    <mergeCell ref="H586:H590"/>
    <mergeCell ref="H591:H592"/>
    <mergeCell ref="H593:H594"/>
    <mergeCell ref="H595:H596"/>
    <mergeCell ref="H597:H601"/>
    <mergeCell ref="H617:H621"/>
    <mergeCell ref="H642:H643"/>
    <mergeCell ref="I21:I32"/>
    <mergeCell ref="I33:I37"/>
    <mergeCell ref="I38:I39"/>
    <mergeCell ref="I40:I41"/>
    <mergeCell ref="I42:I46"/>
    <mergeCell ref="I47:I48"/>
    <mergeCell ref="I51:I53"/>
    <mergeCell ref="I54:I56"/>
    <mergeCell ref="I59:I60"/>
    <mergeCell ref="I77:I78"/>
    <mergeCell ref="I79:I80"/>
    <mergeCell ref="I81:I82"/>
    <mergeCell ref="I83:I84"/>
    <mergeCell ref="I85:I88"/>
    <mergeCell ref="I89:I90"/>
    <mergeCell ref="I91:I94"/>
    <mergeCell ref="I95:I98"/>
    <mergeCell ref="I99:I100"/>
    <mergeCell ref="I101:I103"/>
    <mergeCell ref="I104:I105"/>
    <mergeCell ref="I109:I112"/>
    <mergeCell ref="I121:I122"/>
    <mergeCell ref="I123:I125"/>
    <mergeCell ref="I126:I129"/>
    <mergeCell ref="I130:I134"/>
    <mergeCell ref="I147:I148"/>
    <mergeCell ref="I149:I150"/>
    <mergeCell ref="I151:I153"/>
    <mergeCell ref="I154:I156"/>
    <mergeCell ref="I157:I158"/>
    <mergeCell ref="I159:I161"/>
    <mergeCell ref="I162:I164"/>
    <mergeCell ref="I165:I166"/>
    <mergeCell ref="I167:I171"/>
    <mergeCell ref="I172:I176"/>
    <mergeCell ref="I177:I178"/>
    <mergeCell ref="I179:I180"/>
    <mergeCell ref="I181:I182"/>
    <mergeCell ref="I183:I187"/>
    <mergeCell ref="I188:I190"/>
    <mergeCell ref="I194:I195"/>
    <mergeCell ref="I202:I203"/>
    <mergeCell ref="I233:I235"/>
    <mergeCell ref="I236:I237"/>
    <mergeCell ref="I238:I239"/>
    <mergeCell ref="I240:I241"/>
    <mergeCell ref="I242:I243"/>
    <mergeCell ref="I244:I245"/>
    <mergeCell ref="I246:I247"/>
    <mergeCell ref="I248:I249"/>
    <mergeCell ref="I250:I252"/>
    <mergeCell ref="I253:I254"/>
    <mergeCell ref="I255:I259"/>
    <mergeCell ref="I260:I262"/>
    <mergeCell ref="I263:I266"/>
    <mergeCell ref="I267:I269"/>
    <mergeCell ref="I270:I271"/>
    <mergeCell ref="I272:I274"/>
    <mergeCell ref="I275:I278"/>
    <mergeCell ref="I279:I284"/>
    <mergeCell ref="I285:I286"/>
    <mergeCell ref="I290:I291"/>
    <mergeCell ref="I292:I293"/>
    <mergeCell ref="I305:I306"/>
    <mergeCell ref="I325:I327"/>
    <mergeCell ref="I328:I329"/>
    <mergeCell ref="I330:I331"/>
    <mergeCell ref="I332:I333"/>
    <mergeCell ref="I334:I335"/>
    <mergeCell ref="I336:I337"/>
    <mergeCell ref="I338:I339"/>
    <mergeCell ref="I340:I342"/>
    <mergeCell ref="I343:I344"/>
    <mergeCell ref="I345:I349"/>
    <mergeCell ref="I350:I352"/>
    <mergeCell ref="I353:I356"/>
    <mergeCell ref="I357:I359"/>
    <mergeCell ref="I360:I361"/>
    <mergeCell ref="I362:I364"/>
    <mergeCell ref="I365:I368"/>
    <mergeCell ref="I379:I380"/>
    <mergeCell ref="I406:I417"/>
    <mergeCell ref="I418:I422"/>
    <mergeCell ref="I423:I424"/>
    <mergeCell ref="I425:I426"/>
    <mergeCell ref="I427:I431"/>
    <mergeCell ref="I432:I433"/>
    <mergeCell ref="I437:I440"/>
    <mergeCell ref="I441:I442"/>
    <mergeCell ref="I443:I446"/>
    <mergeCell ref="I447:I450"/>
    <mergeCell ref="I451:I452"/>
    <mergeCell ref="I453:I455"/>
    <mergeCell ref="I456:I457"/>
    <mergeCell ref="I478:I479"/>
    <mergeCell ref="I480:I481"/>
    <mergeCell ref="I482:I483"/>
    <mergeCell ref="I484:I485"/>
    <mergeCell ref="I486:I487"/>
    <mergeCell ref="I510:I511"/>
    <mergeCell ref="I512:I513"/>
    <mergeCell ref="I514:I516"/>
    <mergeCell ref="I517:I519"/>
    <mergeCell ref="I520:I521"/>
    <mergeCell ref="I522:I524"/>
    <mergeCell ref="I533:I534"/>
    <mergeCell ref="I535:I536"/>
    <mergeCell ref="I537:I538"/>
    <mergeCell ref="I544:I545"/>
    <mergeCell ref="I546:I547"/>
    <mergeCell ref="I549:I551"/>
    <mergeCell ref="I552:I554"/>
    <mergeCell ref="I556:I559"/>
    <mergeCell ref="I567:I568"/>
    <mergeCell ref="I569:I571"/>
    <mergeCell ref="I572:I575"/>
    <mergeCell ref="I576:I578"/>
    <mergeCell ref="I579:I580"/>
    <mergeCell ref="I581:I585"/>
    <mergeCell ref="I586:I590"/>
    <mergeCell ref="I591:I592"/>
    <mergeCell ref="I593:I594"/>
    <mergeCell ref="I595:I596"/>
    <mergeCell ref="I597:I601"/>
    <mergeCell ref="I602:I604"/>
    <mergeCell ref="I617:I621"/>
    <mergeCell ref="I625:I630"/>
    <mergeCell ref="I642:I643"/>
    <mergeCell ref="J21:J32"/>
    <mergeCell ref="J33:J37"/>
    <mergeCell ref="J38:J39"/>
    <mergeCell ref="J40:J41"/>
    <mergeCell ref="J42:J46"/>
    <mergeCell ref="J47:J48"/>
    <mergeCell ref="J51:J53"/>
    <mergeCell ref="J54:J56"/>
    <mergeCell ref="J59:J60"/>
    <mergeCell ref="J77:J78"/>
    <mergeCell ref="J79:J80"/>
    <mergeCell ref="J81:J82"/>
    <mergeCell ref="J83:J84"/>
    <mergeCell ref="J85:J88"/>
    <mergeCell ref="J89:J90"/>
    <mergeCell ref="J91:J94"/>
    <mergeCell ref="J95:J98"/>
    <mergeCell ref="J99:J100"/>
    <mergeCell ref="J101:J103"/>
    <mergeCell ref="J104:J105"/>
    <mergeCell ref="J109:J112"/>
    <mergeCell ref="J121:J122"/>
    <mergeCell ref="J123:J125"/>
    <mergeCell ref="J126:J129"/>
    <mergeCell ref="J130:J134"/>
    <mergeCell ref="J147:J148"/>
    <mergeCell ref="J149:J150"/>
    <mergeCell ref="J151:J153"/>
    <mergeCell ref="J154:J156"/>
    <mergeCell ref="J157:J158"/>
    <mergeCell ref="J159:J161"/>
    <mergeCell ref="J162:J164"/>
    <mergeCell ref="J165:J166"/>
    <mergeCell ref="J167:J171"/>
    <mergeCell ref="J172:J176"/>
    <mergeCell ref="J177:J178"/>
    <mergeCell ref="J179:J180"/>
    <mergeCell ref="J181:J182"/>
    <mergeCell ref="J183:J187"/>
    <mergeCell ref="J188:J190"/>
    <mergeCell ref="J194:J195"/>
    <mergeCell ref="J202:J203"/>
    <mergeCell ref="J233:J235"/>
    <mergeCell ref="J236:J237"/>
    <mergeCell ref="J238:J239"/>
    <mergeCell ref="J240:J241"/>
    <mergeCell ref="J242:J243"/>
    <mergeCell ref="J244:J245"/>
    <mergeCell ref="J246:J247"/>
    <mergeCell ref="J248:J249"/>
    <mergeCell ref="J250:J252"/>
    <mergeCell ref="J253:J254"/>
    <mergeCell ref="J255:J259"/>
    <mergeCell ref="J260:J262"/>
    <mergeCell ref="J263:J266"/>
    <mergeCell ref="J267:J269"/>
    <mergeCell ref="J270:J271"/>
    <mergeCell ref="J272:J274"/>
    <mergeCell ref="J275:J278"/>
    <mergeCell ref="J279:J284"/>
    <mergeCell ref="J285:J286"/>
    <mergeCell ref="J290:J291"/>
    <mergeCell ref="J292:J293"/>
    <mergeCell ref="J305:J306"/>
    <mergeCell ref="J325:J327"/>
    <mergeCell ref="J328:J329"/>
    <mergeCell ref="J330:J331"/>
    <mergeCell ref="J332:J333"/>
    <mergeCell ref="J334:J335"/>
    <mergeCell ref="J336:J337"/>
    <mergeCell ref="J338:J339"/>
    <mergeCell ref="J340:J342"/>
    <mergeCell ref="J343:J344"/>
    <mergeCell ref="J345:J349"/>
    <mergeCell ref="J350:J352"/>
    <mergeCell ref="J353:J356"/>
    <mergeCell ref="J357:J359"/>
    <mergeCell ref="J360:J361"/>
    <mergeCell ref="J362:J364"/>
    <mergeCell ref="J365:J368"/>
    <mergeCell ref="J379:J380"/>
    <mergeCell ref="J406:J417"/>
    <mergeCell ref="J418:J422"/>
    <mergeCell ref="J423:J424"/>
    <mergeCell ref="J425:J426"/>
    <mergeCell ref="J427:J431"/>
    <mergeCell ref="J432:J433"/>
    <mergeCell ref="J437:J440"/>
    <mergeCell ref="J441:J442"/>
    <mergeCell ref="J443:J446"/>
    <mergeCell ref="J447:J450"/>
    <mergeCell ref="J451:J452"/>
    <mergeCell ref="J453:J455"/>
    <mergeCell ref="J456:J457"/>
    <mergeCell ref="J478:J479"/>
    <mergeCell ref="J480:J481"/>
    <mergeCell ref="J482:J483"/>
    <mergeCell ref="J484:J485"/>
    <mergeCell ref="J486:J487"/>
    <mergeCell ref="J510:J511"/>
    <mergeCell ref="J512:J513"/>
    <mergeCell ref="J514:J516"/>
    <mergeCell ref="J517:J519"/>
    <mergeCell ref="J520:J521"/>
    <mergeCell ref="J522:J524"/>
    <mergeCell ref="J533:J534"/>
    <mergeCell ref="J535:J536"/>
    <mergeCell ref="J537:J538"/>
    <mergeCell ref="J544:J545"/>
    <mergeCell ref="J546:J547"/>
    <mergeCell ref="J549:J551"/>
    <mergeCell ref="J552:J554"/>
    <mergeCell ref="J556:J559"/>
    <mergeCell ref="J567:J568"/>
    <mergeCell ref="J569:J571"/>
    <mergeCell ref="J572:J575"/>
    <mergeCell ref="J576:J578"/>
    <mergeCell ref="J579:J580"/>
    <mergeCell ref="J581:J585"/>
    <mergeCell ref="J586:J590"/>
    <mergeCell ref="J591:J592"/>
    <mergeCell ref="J593:J594"/>
    <mergeCell ref="J595:J596"/>
    <mergeCell ref="J597:J601"/>
    <mergeCell ref="J602:J604"/>
    <mergeCell ref="J617:J621"/>
    <mergeCell ref="J625:J630"/>
    <mergeCell ref="J642:J643"/>
    <mergeCell ref="K21:K32"/>
    <mergeCell ref="K33:K37"/>
    <mergeCell ref="K38:K39"/>
    <mergeCell ref="K40:K41"/>
    <mergeCell ref="K42:K46"/>
    <mergeCell ref="K47:K48"/>
    <mergeCell ref="K51:K53"/>
    <mergeCell ref="K54:K56"/>
    <mergeCell ref="K59:K60"/>
    <mergeCell ref="K77:K78"/>
    <mergeCell ref="K79:K80"/>
    <mergeCell ref="K81:K82"/>
    <mergeCell ref="K83:K84"/>
    <mergeCell ref="K85:K88"/>
    <mergeCell ref="K89:K90"/>
    <mergeCell ref="K91:K94"/>
    <mergeCell ref="K95:K98"/>
    <mergeCell ref="K99:K100"/>
    <mergeCell ref="K101:K103"/>
    <mergeCell ref="K104:K105"/>
    <mergeCell ref="K109:K112"/>
    <mergeCell ref="K121:K122"/>
    <mergeCell ref="K123:K125"/>
    <mergeCell ref="K126:K129"/>
    <mergeCell ref="K130:K134"/>
    <mergeCell ref="K147:K148"/>
    <mergeCell ref="K149:K150"/>
    <mergeCell ref="K151:K153"/>
    <mergeCell ref="K154:K156"/>
    <mergeCell ref="K157:K158"/>
    <mergeCell ref="K159:K161"/>
    <mergeCell ref="K162:K164"/>
    <mergeCell ref="K165:K166"/>
    <mergeCell ref="K167:K171"/>
    <mergeCell ref="K172:K176"/>
    <mergeCell ref="K177:K178"/>
    <mergeCell ref="K179:K180"/>
    <mergeCell ref="K181:K182"/>
    <mergeCell ref="K183:K187"/>
    <mergeCell ref="K188:K190"/>
    <mergeCell ref="K194:K195"/>
    <mergeCell ref="K202:K203"/>
    <mergeCell ref="K233:K235"/>
    <mergeCell ref="K236:K237"/>
    <mergeCell ref="K238:K239"/>
    <mergeCell ref="K240:K241"/>
    <mergeCell ref="K242:K243"/>
    <mergeCell ref="K244:K245"/>
    <mergeCell ref="K246:K247"/>
    <mergeCell ref="K248:K249"/>
    <mergeCell ref="K250:K252"/>
    <mergeCell ref="K253:K254"/>
    <mergeCell ref="K255:K259"/>
    <mergeCell ref="K260:K262"/>
    <mergeCell ref="K263:K266"/>
    <mergeCell ref="K267:K269"/>
    <mergeCell ref="K270:K271"/>
    <mergeCell ref="K272:K274"/>
    <mergeCell ref="K275:K278"/>
    <mergeCell ref="K279:K284"/>
    <mergeCell ref="K285:K286"/>
    <mergeCell ref="K290:K291"/>
    <mergeCell ref="K292:K293"/>
    <mergeCell ref="K305:K306"/>
    <mergeCell ref="K325:K327"/>
    <mergeCell ref="K328:K329"/>
    <mergeCell ref="K330:K331"/>
    <mergeCell ref="K332:K333"/>
    <mergeCell ref="K334:K335"/>
    <mergeCell ref="K336:K337"/>
    <mergeCell ref="K338:K339"/>
    <mergeCell ref="K340:K342"/>
    <mergeCell ref="K343:K344"/>
    <mergeCell ref="K345:K349"/>
    <mergeCell ref="K350:K352"/>
    <mergeCell ref="K353:K356"/>
    <mergeCell ref="K357:K359"/>
    <mergeCell ref="K360:K361"/>
    <mergeCell ref="K362:K364"/>
    <mergeCell ref="K365:K368"/>
    <mergeCell ref="K379:K380"/>
    <mergeCell ref="K406:K417"/>
    <mergeCell ref="K418:K422"/>
    <mergeCell ref="K423:K424"/>
    <mergeCell ref="K425:K426"/>
    <mergeCell ref="K427:K431"/>
    <mergeCell ref="K432:K433"/>
    <mergeCell ref="K437:K440"/>
    <mergeCell ref="K441:K442"/>
    <mergeCell ref="K443:K446"/>
    <mergeCell ref="K447:K450"/>
    <mergeCell ref="K451:K452"/>
    <mergeCell ref="K453:K455"/>
    <mergeCell ref="K456:K457"/>
    <mergeCell ref="K478:K479"/>
    <mergeCell ref="K480:K481"/>
    <mergeCell ref="K482:K483"/>
    <mergeCell ref="K484:K485"/>
    <mergeCell ref="K486:K487"/>
    <mergeCell ref="K510:K511"/>
    <mergeCell ref="K512:K513"/>
    <mergeCell ref="K514:K516"/>
    <mergeCell ref="K517:K519"/>
    <mergeCell ref="K520:K521"/>
    <mergeCell ref="K522:K524"/>
    <mergeCell ref="K533:K534"/>
    <mergeCell ref="K535:K536"/>
    <mergeCell ref="K537:K538"/>
    <mergeCell ref="K544:K545"/>
    <mergeCell ref="K546:K547"/>
    <mergeCell ref="K549:K551"/>
    <mergeCell ref="K552:K554"/>
    <mergeCell ref="K556:K559"/>
    <mergeCell ref="K567:K568"/>
    <mergeCell ref="K569:K571"/>
    <mergeCell ref="K572:K575"/>
    <mergeCell ref="K576:K578"/>
    <mergeCell ref="K579:K580"/>
    <mergeCell ref="K581:K585"/>
    <mergeCell ref="K586:K590"/>
    <mergeCell ref="K591:K592"/>
    <mergeCell ref="K593:K594"/>
    <mergeCell ref="K595:K596"/>
    <mergeCell ref="K597:K601"/>
    <mergeCell ref="K602:K604"/>
    <mergeCell ref="K617:K621"/>
    <mergeCell ref="K625:K630"/>
    <mergeCell ref="K642:K643"/>
    <mergeCell ref="L21:L32"/>
    <mergeCell ref="L33:L37"/>
    <mergeCell ref="L38:L39"/>
    <mergeCell ref="L40:L41"/>
    <mergeCell ref="L42:L46"/>
    <mergeCell ref="L47:L48"/>
    <mergeCell ref="L51:L53"/>
    <mergeCell ref="L54:L56"/>
    <mergeCell ref="L59:L60"/>
    <mergeCell ref="L77:L78"/>
    <mergeCell ref="L79:L80"/>
    <mergeCell ref="L81:L82"/>
    <mergeCell ref="L83:L84"/>
    <mergeCell ref="L85:L88"/>
    <mergeCell ref="L89:L90"/>
    <mergeCell ref="L91:L94"/>
    <mergeCell ref="L95:L98"/>
    <mergeCell ref="L99:L100"/>
    <mergeCell ref="L101:L103"/>
    <mergeCell ref="L104:L105"/>
    <mergeCell ref="L109:L112"/>
    <mergeCell ref="L121:L122"/>
    <mergeCell ref="L123:L125"/>
    <mergeCell ref="L126:L129"/>
    <mergeCell ref="L130:L134"/>
    <mergeCell ref="L147:L148"/>
    <mergeCell ref="L149:L150"/>
    <mergeCell ref="L151:L153"/>
    <mergeCell ref="L154:L156"/>
    <mergeCell ref="L157:L158"/>
    <mergeCell ref="L159:L161"/>
    <mergeCell ref="L162:L164"/>
    <mergeCell ref="L165:L166"/>
    <mergeCell ref="L167:L171"/>
    <mergeCell ref="L172:L176"/>
    <mergeCell ref="L177:L178"/>
    <mergeCell ref="L179:L180"/>
    <mergeCell ref="L181:L182"/>
    <mergeCell ref="L183:L187"/>
    <mergeCell ref="L188:L190"/>
    <mergeCell ref="L194:L195"/>
    <mergeCell ref="L202:L203"/>
    <mergeCell ref="L233:L235"/>
    <mergeCell ref="L236:L237"/>
    <mergeCell ref="L238:L239"/>
    <mergeCell ref="L240:L241"/>
    <mergeCell ref="L242:L243"/>
    <mergeCell ref="L244:L245"/>
    <mergeCell ref="L246:L247"/>
    <mergeCell ref="L248:L249"/>
    <mergeCell ref="L250:L252"/>
    <mergeCell ref="L253:L254"/>
    <mergeCell ref="L255:L259"/>
    <mergeCell ref="L260:L262"/>
    <mergeCell ref="L263:L266"/>
    <mergeCell ref="L267:L269"/>
    <mergeCell ref="L270:L271"/>
    <mergeCell ref="L272:L274"/>
    <mergeCell ref="L275:L278"/>
    <mergeCell ref="L279:L284"/>
    <mergeCell ref="L285:L286"/>
    <mergeCell ref="L290:L291"/>
    <mergeCell ref="L292:L293"/>
    <mergeCell ref="L305:L306"/>
    <mergeCell ref="L325:L327"/>
    <mergeCell ref="L328:L329"/>
    <mergeCell ref="L330:L331"/>
    <mergeCell ref="L332:L333"/>
    <mergeCell ref="L334:L335"/>
    <mergeCell ref="L336:L337"/>
    <mergeCell ref="L338:L339"/>
    <mergeCell ref="L340:L342"/>
    <mergeCell ref="L343:L344"/>
    <mergeCell ref="L345:L349"/>
    <mergeCell ref="L350:L352"/>
    <mergeCell ref="L353:L356"/>
    <mergeCell ref="L357:L359"/>
    <mergeCell ref="L360:L361"/>
    <mergeCell ref="L362:L364"/>
    <mergeCell ref="L365:L368"/>
    <mergeCell ref="L379:L380"/>
    <mergeCell ref="L406:L417"/>
    <mergeCell ref="L418:L422"/>
    <mergeCell ref="L423:L424"/>
    <mergeCell ref="L425:L426"/>
    <mergeCell ref="L427:L431"/>
    <mergeCell ref="L432:L433"/>
    <mergeCell ref="L437:L440"/>
    <mergeCell ref="L441:L442"/>
    <mergeCell ref="L443:L446"/>
    <mergeCell ref="L447:L450"/>
    <mergeCell ref="L451:L452"/>
    <mergeCell ref="L453:L455"/>
    <mergeCell ref="L456:L457"/>
    <mergeCell ref="L478:L479"/>
    <mergeCell ref="L480:L481"/>
    <mergeCell ref="L482:L483"/>
    <mergeCell ref="L484:L485"/>
    <mergeCell ref="L486:L487"/>
    <mergeCell ref="L510:L511"/>
    <mergeCell ref="L512:L513"/>
    <mergeCell ref="L514:L516"/>
    <mergeCell ref="L517:L519"/>
    <mergeCell ref="L520:L521"/>
    <mergeCell ref="L522:L524"/>
    <mergeCell ref="L533:L534"/>
    <mergeCell ref="L535:L536"/>
    <mergeCell ref="L537:L538"/>
    <mergeCell ref="L544:L545"/>
    <mergeCell ref="L546:L547"/>
    <mergeCell ref="L549:L551"/>
    <mergeCell ref="L552:L554"/>
    <mergeCell ref="L556:L559"/>
    <mergeCell ref="L567:L568"/>
    <mergeCell ref="L569:L571"/>
    <mergeCell ref="L572:L575"/>
    <mergeCell ref="L576:L578"/>
    <mergeCell ref="L579:L580"/>
    <mergeCell ref="L581:L585"/>
    <mergeCell ref="L586:L590"/>
    <mergeCell ref="L591:L592"/>
    <mergeCell ref="L593:L594"/>
    <mergeCell ref="L595:L596"/>
    <mergeCell ref="L597:L601"/>
    <mergeCell ref="L602:L604"/>
    <mergeCell ref="L617:L621"/>
    <mergeCell ref="L625:L630"/>
    <mergeCell ref="L642:L643"/>
    <mergeCell ref="M21:M32"/>
    <mergeCell ref="M33:M37"/>
    <mergeCell ref="M38:M39"/>
    <mergeCell ref="M40:M41"/>
    <mergeCell ref="M42:M46"/>
    <mergeCell ref="M47:M48"/>
    <mergeCell ref="M51:M53"/>
    <mergeCell ref="M54:M56"/>
    <mergeCell ref="M59:M60"/>
    <mergeCell ref="M77:M78"/>
    <mergeCell ref="M79:M80"/>
    <mergeCell ref="M81:M82"/>
    <mergeCell ref="M83:M84"/>
    <mergeCell ref="M85:M88"/>
    <mergeCell ref="M89:M90"/>
    <mergeCell ref="M91:M94"/>
    <mergeCell ref="M95:M98"/>
    <mergeCell ref="M99:M100"/>
    <mergeCell ref="M101:M103"/>
    <mergeCell ref="M104:M105"/>
    <mergeCell ref="M109:M112"/>
    <mergeCell ref="M121:M122"/>
    <mergeCell ref="M123:M125"/>
    <mergeCell ref="M126:M129"/>
    <mergeCell ref="M130:M134"/>
    <mergeCell ref="M147:M148"/>
    <mergeCell ref="M149:M150"/>
    <mergeCell ref="M151:M153"/>
    <mergeCell ref="M154:M156"/>
    <mergeCell ref="M157:M158"/>
    <mergeCell ref="M159:M161"/>
    <mergeCell ref="M162:M164"/>
    <mergeCell ref="M165:M166"/>
    <mergeCell ref="M167:M171"/>
    <mergeCell ref="M172:M176"/>
    <mergeCell ref="M177:M178"/>
    <mergeCell ref="M179:M180"/>
    <mergeCell ref="M181:M182"/>
    <mergeCell ref="M183:M187"/>
    <mergeCell ref="M188:M190"/>
    <mergeCell ref="M194:M195"/>
    <mergeCell ref="M202:M203"/>
    <mergeCell ref="M233:M235"/>
    <mergeCell ref="M236:M237"/>
    <mergeCell ref="M238:M239"/>
    <mergeCell ref="M240:M241"/>
    <mergeCell ref="M242:M243"/>
    <mergeCell ref="M244:M245"/>
    <mergeCell ref="M246:M247"/>
    <mergeCell ref="M248:M249"/>
    <mergeCell ref="M250:M252"/>
    <mergeCell ref="M253:M254"/>
    <mergeCell ref="M255:M259"/>
    <mergeCell ref="M260:M262"/>
    <mergeCell ref="M263:M266"/>
    <mergeCell ref="M267:M269"/>
    <mergeCell ref="M270:M271"/>
    <mergeCell ref="M272:M274"/>
    <mergeCell ref="M275:M278"/>
    <mergeCell ref="M279:M284"/>
    <mergeCell ref="M285:M286"/>
    <mergeCell ref="M290:M291"/>
    <mergeCell ref="M292:M293"/>
    <mergeCell ref="M305:M306"/>
    <mergeCell ref="M325:M327"/>
    <mergeCell ref="M328:M329"/>
    <mergeCell ref="M330:M331"/>
    <mergeCell ref="M332:M333"/>
    <mergeCell ref="M334:M335"/>
    <mergeCell ref="M336:M337"/>
    <mergeCell ref="M338:M339"/>
    <mergeCell ref="M340:M342"/>
    <mergeCell ref="M343:M344"/>
    <mergeCell ref="M345:M349"/>
    <mergeCell ref="M350:M352"/>
    <mergeCell ref="M353:M356"/>
    <mergeCell ref="M357:M359"/>
    <mergeCell ref="M360:M361"/>
    <mergeCell ref="M362:M364"/>
    <mergeCell ref="M365:M368"/>
    <mergeCell ref="M379:M380"/>
    <mergeCell ref="M406:M417"/>
    <mergeCell ref="M418:M422"/>
    <mergeCell ref="M423:M424"/>
    <mergeCell ref="M425:M426"/>
    <mergeCell ref="M427:M431"/>
    <mergeCell ref="M432:M433"/>
    <mergeCell ref="M437:M440"/>
    <mergeCell ref="M441:M442"/>
    <mergeCell ref="M443:M446"/>
    <mergeCell ref="M447:M450"/>
    <mergeCell ref="M451:M452"/>
    <mergeCell ref="M453:M455"/>
    <mergeCell ref="M456:M457"/>
    <mergeCell ref="M478:M479"/>
    <mergeCell ref="M480:M481"/>
    <mergeCell ref="M482:M483"/>
    <mergeCell ref="M484:M485"/>
    <mergeCell ref="M486:M487"/>
    <mergeCell ref="M510:M511"/>
    <mergeCell ref="M512:M513"/>
    <mergeCell ref="M514:M516"/>
    <mergeCell ref="M517:M519"/>
    <mergeCell ref="M520:M521"/>
    <mergeCell ref="M522:M524"/>
    <mergeCell ref="M533:M534"/>
    <mergeCell ref="M535:M536"/>
    <mergeCell ref="M537:M538"/>
    <mergeCell ref="M544:M545"/>
    <mergeCell ref="M546:M547"/>
    <mergeCell ref="M549:M551"/>
    <mergeCell ref="M552:M554"/>
    <mergeCell ref="M556:M559"/>
    <mergeCell ref="M567:M568"/>
    <mergeCell ref="M569:M571"/>
    <mergeCell ref="M572:M575"/>
    <mergeCell ref="M576:M578"/>
    <mergeCell ref="M579:M580"/>
    <mergeCell ref="M581:M585"/>
    <mergeCell ref="M586:M590"/>
    <mergeCell ref="M591:M592"/>
    <mergeCell ref="M593:M594"/>
    <mergeCell ref="M595:M596"/>
    <mergeCell ref="M597:M601"/>
    <mergeCell ref="M602:M604"/>
    <mergeCell ref="M617:M621"/>
    <mergeCell ref="M625:M630"/>
    <mergeCell ref="M642:M643"/>
    <mergeCell ref="N21:N32"/>
    <mergeCell ref="N33:N37"/>
    <mergeCell ref="N38:N39"/>
    <mergeCell ref="N40:N41"/>
    <mergeCell ref="N42:N46"/>
    <mergeCell ref="N47:N48"/>
    <mergeCell ref="N51:N53"/>
    <mergeCell ref="N54:N56"/>
    <mergeCell ref="N59:N60"/>
    <mergeCell ref="N77:N78"/>
    <mergeCell ref="N79:N80"/>
    <mergeCell ref="N81:N82"/>
    <mergeCell ref="N83:N84"/>
    <mergeCell ref="N85:N88"/>
    <mergeCell ref="N89:N90"/>
    <mergeCell ref="N91:N94"/>
    <mergeCell ref="N95:N98"/>
    <mergeCell ref="N99:N100"/>
    <mergeCell ref="N101:N103"/>
    <mergeCell ref="N104:N105"/>
    <mergeCell ref="N109:N112"/>
    <mergeCell ref="N121:N122"/>
    <mergeCell ref="N123:N125"/>
    <mergeCell ref="N126:N129"/>
    <mergeCell ref="N130:N134"/>
    <mergeCell ref="N147:N148"/>
    <mergeCell ref="N149:N150"/>
    <mergeCell ref="N151:N153"/>
    <mergeCell ref="N154:N156"/>
    <mergeCell ref="N157:N158"/>
    <mergeCell ref="N159:N161"/>
    <mergeCell ref="N162:N164"/>
    <mergeCell ref="N165:N166"/>
    <mergeCell ref="N167:N171"/>
    <mergeCell ref="N172:N176"/>
    <mergeCell ref="N177:N178"/>
    <mergeCell ref="N179:N180"/>
    <mergeCell ref="N181:N182"/>
    <mergeCell ref="N183:N187"/>
    <mergeCell ref="N188:N190"/>
    <mergeCell ref="N194:N195"/>
    <mergeCell ref="N202:N203"/>
    <mergeCell ref="N233:N235"/>
    <mergeCell ref="N236:N237"/>
    <mergeCell ref="N238:N239"/>
    <mergeCell ref="N240:N241"/>
    <mergeCell ref="N242:N243"/>
    <mergeCell ref="N244:N245"/>
    <mergeCell ref="N246:N247"/>
    <mergeCell ref="N248:N249"/>
    <mergeCell ref="N250:N252"/>
    <mergeCell ref="N253:N254"/>
    <mergeCell ref="N255:N259"/>
    <mergeCell ref="N260:N262"/>
    <mergeCell ref="N263:N266"/>
    <mergeCell ref="N267:N269"/>
    <mergeCell ref="N270:N271"/>
    <mergeCell ref="N272:N274"/>
    <mergeCell ref="N275:N278"/>
    <mergeCell ref="N279:N284"/>
    <mergeCell ref="N285:N286"/>
    <mergeCell ref="N290:N291"/>
    <mergeCell ref="N292:N293"/>
    <mergeCell ref="N305:N306"/>
    <mergeCell ref="N325:N327"/>
    <mergeCell ref="N328:N329"/>
    <mergeCell ref="N330:N331"/>
    <mergeCell ref="N332:N333"/>
    <mergeCell ref="N334:N335"/>
    <mergeCell ref="N336:N337"/>
    <mergeCell ref="N338:N339"/>
    <mergeCell ref="N340:N342"/>
    <mergeCell ref="N343:N344"/>
    <mergeCell ref="N345:N349"/>
    <mergeCell ref="N350:N352"/>
    <mergeCell ref="N353:N356"/>
    <mergeCell ref="N357:N359"/>
    <mergeCell ref="N360:N361"/>
    <mergeCell ref="N362:N364"/>
    <mergeCell ref="N365:N368"/>
    <mergeCell ref="N379:N380"/>
    <mergeCell ref="N406:N417"/>
    <mergeCell ref="N418:N422"/>
    <mergeCell ref="N423:N424"/>
    <mergeCell ref="N425:N426"/>
    <mergeCell ref="N427:N431"/>
    <mergeCell ref="N432:N433"/>
    <mergeCell ref="N437:N440"/>
    <mergeCell ref="N441:N442"/>
    <mergeCell ref="N443:N446"/>
    <mergeCell ref="N447:N450"/>
    <mergeCell ref="N451:N452"/>
    <mergeCell ref="N453:N455"/>
    <mergeCell ref="N456:N457"/>
    <mergeCell ref="N478:N479"/>
    <mergeCell ref="N480:N481"/>
    <mergeCell ref="N482:N483"/>
    <mergeCell ref="N484:N485"/>
    <mergeCell ref="N486:N487"/>
    <mergeCell ref="N510:N511"/>
    <mergeCell ref="N512:N513"/>
    <mergeCell ref="N514:N516"/>
    <mergeCell ref="N517:N519"/>
    <mergeCell ref="N520:N521"/>
    <mergeCell ref="N522:N524"/>
    <mergeCell ref="N533:N534"/>
    <mergeCell ref="N535:N536"/>
    <mergeCell ref="N537:N538"/>
    <mergeCell ref="N544:N545"/>
    <mergeCell ref="N546:N547"/>
    <mergeCell ref="N549:N551"/>
    <mergeCell ref="N552:N554"/>
    <mergeCell ref="N556:N559"/>
    <mergeCell ref="N567:N568"/>
    <mergeCell ref="N569:N571"/>
    <mergeCell ref="N572:N575"/>
    <mergeCell ref="N576:N578"/>
    <mergeCell ref="N579:N580"/>
    <mergeCell ref="N581:N585"/>
    <mergeCell ref="N586:N590"/>
    <mergeCell ref="N591:N592"/>
    <mergeCell ref="N593:N594"/>
    <mergeCell ref="N595:N596"/>
    <mergeCell ref="N597:N601"/>
    <mergeCell ref="N602:N604"/>
    <mergeCell ref="N617:N621"/>
    <mergeCell ref="N625:N630"/>
    <mergeCell ref="N642:N643"/>
    <mergeCell ref="E393:M394"/>
    <mergeCell ref="E369:M370"/>
    <mergeCell ref="E461:M462"/>
    <mergeCell ref="E491:M492"/>
    <mergeCell ref="E501:M502"/>
    <mergeCell ref="E525:M526"/>
    <mergeCell ref="E611:M612"/>
    <mergeCell ref="E644:M645"/>
  </mergeCells>
  <pageMargins left="0" right="0" top="0.2" bottom="0" header="0.51" footer="0.51"/>
  <pageSetup paperSize="9" scale="77" fitToHeight="0" orientation="landscape" verticalDpi="600"/>
  <headerFooter alignWithMargins="0"/>
  <ignoredErrors>
    <ignoredError sqref="A128 A145 A12 A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20"/>
  <sheetViews>
    <sheetView zoomScaleSheetLayoutView="60" workbookViewId="0">
      <selection activeCell="C1" sqref="C1:C20"/>
    </sheetView>
  </sheetViews>
  <sheetFormatPr defaultColWidth="9.13333333333333" defaultRowHeight="12.75" outlineLevelCol="2"/>
  <cols>
    <col min="1" max="1" width="19.4285714285714" style="1" customWidth="1"/>
    <col min="2" max="3" width="17.4285714285714" style="1" customWidth="1"/>
    <col min="4" max="4" width="6.26666666666667" customWidth="1"/>
    <col min="5" max="5" width="5.86666666666667" customWidth="1"/>
    <col min="7" max="7" width="11.6" customWidth="1"/>
    <col min="8" max="8" width="7.4" customWidth="1"/>
    <col min="9" max="9" width="6.73333333333333" customWidth="1"/>
    <col min="10" max="10" width="6.13333333333333" customWidth="1"/>
    <col min="15" max="15" width="16.8666666666667" customWidth="1"/>
  </cols>
  <sheetData>
    <row r="1" spans="1:3">
      <c r="A1" s="1">
        <v>18586</v>
      </c>
      <c r="B1" s="1" t="s">
        <v>133</v>
      </c>
      <c r="C1" s="1">
        <v>5.33</v>
      </c>
    </row>
    <row r="2" spans="1:3">
      <c r="A2" s="1">
        <v>18648</v>
      </c>
      <c r="B2" s="1" t="s">
        <v>135</v>
      </c>
      <c r="C2" s="1">
        <v>8.63</v>
      </c>
    </row>
    <row r="3" spans="1:3">
      <c r="A3" s="1">
        <v>18264</v>
      </c>
      <c r="B3" s="1" t="s">
        <v>113</v>
      </c>
      <c r="C3" s="1">
        <v>3.56</v>
      </c>
    </row>
    <row r="4" spans="1:3">
      <c r="A4" s="1">
        <v>18561</v>
      </c>
      <c r="B4" s="1" t="s">
        <v>132</v>
      </c>
      <c r="C4" s="1">
        <v>5.63</v>
      </c>
    </row>
    <row r="5" spans="1:3">
      <c r="A5" s="1">
        <v>19617</v>
      </c>
      <c r="B5" s="1" t="s">
        <v>171</v>
      </c>
      <c r="C5" s="1">
        <v>13.48</v>
      </c>
    </row>
    <row r="6" spans="1:3">
      <c r="A6" s="1" t="s">
        <v>62</v>
      </c>
      <c r="B6" s="1" t="s">
        <v>248</v>
      </c>
      <c r="C6" s="1">
        <v>1.39</v>
      </c>
    </row>
    <row r="7" spans="1:3">
      <c r="A7" s="1">
        <v>18783</v>
      </c>
      <c r="B7" s="1" t="s">
        <v>137</v>
      </c>
      <c r="C7" s="1">
        <v>3.47</v>
      </c>
    </row>
    <row r="8" spans="1:3">
      <c r="A8" s="1">
        <v>18586</v>
      </c>
      <c r="B8" s="1" t="s">
        <v>133</v>
      </c>
      <c r="C8" s="1">
        <v>5.33</v>
      </c>
    </row>
    <row r="9" spans="1:3">
      <c r="A9" s="1">
        <v>18187</v>
      </c>
      <c r="B9" s="1" t="s">
        <v>169</v>
      </c>
      <c r="C9" s="1">
        <v>10.01</v>
      </c>
    </row>
    <row r="10" spans="1:3">
      <c r="A10" s="1">
        <v>18648</v>
      </c>
      <c r="B10" s="1" t="s">
        <v>135</v>
      </c>
      <c r="C10" s="1">
        <v>8.63</v>
      </c>
    </row>
    <row r="11" spans="1:3">
      <c r="A11" s="1">
        <v>18718</v>
      </c>
      <c r="B11" s="1" t="s">
        <v>136</v>
      </c>
      <c r="C11" s="1">
        <v>11.88</v>
      </c>
    </row>
    <row r="12" spans="1:3">
      <c r="A12" s="1" t="s">
        <v>41</v>
      </c>
      <c r="B12" s="1" t="s">
        <v>42</v>
      </c>
      <c r="C12" s="1">
        <v>0.14</v>
      </c>
    </row>
    <row r="13" spans="1:3">
      <c r="A13" s="1">
        <v>18264</v>
      </c>
      <c r="B13" s="1" t="s">
        <v>113</v>
      </c>
      <c r="C13" s="1">
        <v>3.56</v>
      </c>
    </row>
    <row r="14" spans="1:3">
      <c r="A14" s="1">
        <v>18561</v>
      </c>
      <c r="B14" s="1" t="s">
        <v>132</v>
      </c>
      <c r="C14" s="1">
        <v>5.63</v>
      </c>
    </row>
    <row r="15" spans="1:3">
      <c r="A15" s="1">
        <v>19617</v>
      </c>
      <c r="B15" s="1" t="s">
        <v>171</v>
      </c>
      <c r="C15" s="1">
        <v>13.48</v>
      </c>
    </row>
    <row r="16" spans="1:3">
      <c r="A16" s="1">
        <v>19563</v>
      </c>
      <c r="B16" s="1" t="s">
        <v>151</v>
      </c>
      <c r="C16" s="1">
        <v>6.53</v>
      </c>
    </row>
    <row r="17" spans="1:3">
      <c r="A17" s="1">
        <v>18294</v>
      </c>
      <c r="B17" s="1" t="s">
        <v>164</v>
      </c>
      <c r="C17" s="1">
        <v>3.78</v>
      </c>
    </row>
    <row r="18" spans="1:3">
      <c r="A18" s="1" t="s">
        <v>62</v>
      </c>
      <c r="B18" s="1" t="s">
        <v>248</v>
      </c>
      <c r="C18" s="1">
        <v>1.39</v>
      </c>
    </row>
    <row r="19" spans="1:3">
      <c r="A19" s="1">
        <v>18417</v>
      </c>
      <c r="B19" s="1" t="s">
        <v>165</v>
      </c>
      <c r="C19" s="1">
        <v>3.89</v>
      </c>
    </row>
    <row r="20" spans="1:3">
      <c r="A20" s="1">
        <v>18783</v>
      </c>
      <c r="B20" s="1" t="s">
        <v>137</v>
      </c>
      <c r="C20" s="1">
        <v>3.47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zoomScaleSheetLayoutView="60" workbookViewId="0">
      <selection activeCell="H19" sqref="H19"/>
    </sheetView>
  </sheetViews>
  <sheetFormatPr defaultColWidth="9.13333333333333" defaultRowHeight="12.7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kkk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Lina</cp:lastModifiedBy>
  <cp:revision>1</cp:revision>
  <dcterms:created xsi:type="dcterms:W3CDTF">2007-12-29T23:50:00Z</dcterms:created>
  <cp:lastPrinted>2012-03-03T05:23:00Z</cp:lastPrinted>
  <dcterms:modified xsi:type="dcterms:W3CDTF">2026-01-09T00:09:34Z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FF72F3533D7243698866FC7946ACC263_13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